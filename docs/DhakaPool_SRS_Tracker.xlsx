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'Requirements_RTM'!$A$1:$O$138</definedName>
    <definedName name="_xlnm._FilterDatabase" localSheetId="2" hidden="1">'Test_Cases'!$A$1:$K$47</definedName>
    <definedName name="_xlnm._FilterDatabase" localSheetId="3" hidden="1">'Assumptions_Decisions'!$A$1:$I$48</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0.2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2026-09-24 — architecture phase: ARCHITECTURE.md, ERD.md, ADR-0001…0012</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COUNTIF(Requirements_RTM!$B$2:$B$138,"FR")</f>
        <v/>
      </c>
      <c r="D21" s="9">
        <f>COUNTIFS(Requirements_RTM!$B$2:$B$138,"FR",Requirements_RTM!$E$2:$E$138,"M")</f>
        <v/>
      </c>
      <c r="F21" s="8" t="inlineStr">
        <is>
          <t>M</t>
        </is>
      </c>
      <c r="G21" s="9">
        <f>COUNTIF(Requirements_RTM!$E$2:$E$138,"M")</f>
        <v/>
      </c>
    </row>
    <row r="22">
      <c r="B22" s="8" t="inlineStr">
        <is>
          <t>BR — Business rule</t>
        </is>
      </c>
      <c r="C22" s="9">
        <f>COUNTIF(Requirements_RTM!$B$2:$B$138,"BR")</f>
        <v/>
      </c>
      <c r="D22" s="9">
        <f>COUNTIFS(Requirements_RTM!$B$2:$B$138,"BR",Requirements_RTM!$E$2:$E$138,"M")</f>
        <v/>
      </c>
      <c r="F22" s="8" t="inlineStr">
        <is>
          <t>S</t>
        </is>
      </c>
      <c r="G22" s="9">
        <f>COUNTIF(Requirements_RTM!$E$2:$E$138,"S")</f>
        <v/>
      </c>
    </row>
    <row r="23">
      <c r="B23" s="8" t="inlineStr">
        <is>
          <t>NFR — Non-functional</t>
        </is>
      </c>
      <c r="C23" s="9">
        <f>COUNTIF(Requirements_RTM!$B$2:$B$138,"NFR")</f>
        <v/>
      </c>
      <c r="D23" s="9">
        <f>COUNTIFS(Requirements_RTM!$B$2:$B$138,"NFR",Requirements_RTM!$E$2:$E$138,"M")</f>
        <v/>
      </c>
      <c r="F23" s="8" t="inlineStr">
        <is>
          <t>C</t>
        </is>
      </c>
      <c r="G23" s="9">
        <f>COUNTIF(Requirements_RTM!$E$2:$E$138,"C")</f>
        <v/>
      </c>
    </row>
    <row r="24">
      <c r="B24" s="8" t="inlineStr">
        <is>
          <t>DC — Design constraint</t>
        </is>
      </c>
      <c r="C24" s="9">
        <f>COUNTIF(Requirements_RTM!$B$2:$B$138,"DC")</f>
        <v/>
      </c>
      <c r="D24" s="9">
        <f>COUNTIFS(Requirements_RTM!$B$2:$B$138,"DC",Requirements_RTM!$E$2:$E$138,"M")</f>
        <v/>
      </c>
      <c r="F24" s="8" t="inlineStr">
        <is>
          <t>W</t>
        </is>
      </c>
      <c r="G24" s="9">
        <f>COUNTIF(Requirements_RTM!$E$2:$E$138,"W")</f>
        <v/>
      </c>
    </row>
    <row r="25">
      <c r="B25" s="8" t="inlineStr">
        <is>
          <t>DR — Delivery / process</t>
        </is>
      </c>
      <c r="C25" s="9">
        <f>COUNTIF(Requirements_RTM!$B$2:$B$138,"DR")</f>
        <v/>
      </c>
      <c r="D25" s="9">
        <f>COUNTIFS(Requirements_RTM!$B$2:$B$138,"DR",Requirements_RTM!$E$2:$E$138,"M")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COUNTIF(Requirements_RTM!$M$2:$M$138,"Proposed")</f>
        <v/>
      </c>
      <c r="E30" s="8" t="inlineStr">
        <is>
          <t>Not Written</t>
        </is>
      </c>
      <c r="F30" s="9">
        <f>COUNTIF(Test_Cases!$I$2:$I$47,"Not Written")</f>
        <v/>
      </c>
      <c r="H30" s="8" t="inlineStr">
        <is>
          <t>Not Started</t>
        </is>
      </c>
      <c r="I30" s="9">
        <f>COUNTIF(Implementation_Tasks!$G$2:$G$28,"Not Started")</f>
        <v/>
      </c>
    </row>
    <row r="31">
      <c r="B31" s="8" t="inlineStr">
        <is>
          <t>Approved</t>
        </is>
      </c>
      <c r="C31" s="9">
        <f>COUNTIF(Requirements_RTM!$M$2:$M$138,"Approved")</f>
        <v/>
      </c>
      <c r="E31" s="8" t="inlineStr">
        <is>
          <t>Written</t>
        </is>
      </c>
      <c r="F31" s="9">
        <f>COUNTIF(Test_Cases!$I$2:$I$47,"Written")</f>
        <v/>
      </c>
      <c r="H31" s="8" t="inlineStr">
        <is>
          <t>In Progress</t>
        </is>
      </c>
      <c r="I31" s="9">
        <f>COUNTIF(Implementation_Tasks!$G$2:$G$28,"In Progress")</f>
        <v/>
      </c>
    </row>
    <row r="32">
      <c r="B32" s="8" t="inlineStr">
        <is>
          <t>In Progress</t>
        </is>
      </c>
      <c r="C32" s="9">
        <f>COUNTIF(Requirements_RTM!$M$2:$M$138,"In Progress")</f>
        <v/>
      </c>
      <c r="E32" s="8" t="inlineStr">
        <is>
          <t>Passing</t>
        </is>
      </c>
      <c r="F32" s="9">
        <f>COUNTIF(Test_Cases!$I$2:$I$47,"Passing")</f>
        <v/>
      </c>
      <c r="H32" s="8" t="inlineStr">
        <is>
          <t>In Review</t>
        </is>
      </c>
      <c r="I32" s="9">
        <f>COUNTIF(Implementation_Tasks!$G$2:$G$28,"In Review")</f>
        <v/>
      </c>
    </row>
    <row r="33">
      <c r="B33" s="8" t="inlineStr">
        <is>
          <t>Implemented</t>
        </is>
      </c>
      <c r="C33" s="9">
        <f>COUNTIF(Requirements_RTM!$M$2:$M$138,"Implemented")</f>
        <v/>
      </c>
      <c r="E33" s="8" t="inlineStr">
        <is>
          <t>Failing</t>
        </is>
      </c>
      <c r="F33" s="9">
        <f>COUNTIF(Test_Cases!$I$2:$I$47,"Failing")</f>
        <v/>
      </c>
      <c r="H33" s="8" t="inlineStr">
        <is>
          <t>Done</t>
        </is>
      </c>
      <c r="I33" s="9">
        <f>COUNTIF(Implementation_Tasks!$G$2:$G$28,"Done")</f>
        <v/>
      </c>
    </row>
    <row r="34">
      <c r="B34" s="8" t="inlineStr">
        <is>
          <t>Verified</t>
        </is>
      </c>
      <c r="C34" s="9">
        <f>COUNTIF(Requirements_RTM!$M$2:$M$138,"Verified")</f>
        <v/>
      </c>
      <c r="E34" s="8" t="inlineStr">
        <is>
          <t>Blocked</t>
        </is>
      </c>
      <c r="F34" s="9">
        <f>COUNTIF(Test_Cases!$I$2:$I$47,"Blocked")</f>
        <v/>
      </c>
      <c r="H34" s="8" t="inlineStr">
        <is>
          <t>Blocked</t>
        </is>
      </c>
      <c r="I34" s="9">
        <f>COUNTIF(Implementation_Tasks!$G$2:$G$28,"Blocked")</f>
        <v/>
      </c>
    </row>
    <row r="35">
      <c r="B35" s="8" t="inlineStr">
        <is>
          <t>Deferred</t>
        </is>
      </c>
      <c r="C35" s="9">
        <f>COUNTIF(Requirements_RTM!$M$2:$M$138,"Deferred")</f>
        <v/>
      </c>
    </row>
    <row r="36">
      <c r="B36" s="8" t="inlineStr">
        <is>
          <t>Withdrawn</t>
        </is>
      </c>
      <c r="C36" s="9">
        <f>COUNTIF(Requirements_RTM!$M$2:$M$138,"Withdrawn")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COUNTIFS(Requirements_RTM!$I$2:$I$138,"*T*",Requirements_RTM!$J$2:$J$138,"",Requirements_RTM!$E$2:$E$138,"&lt;&gt;W")</f>
        <v/>
      </c>
      <c r="D40" s="9" t="n">
        <v>0</v>
      </c>
      <c r="E40" s="11">
        <f>IF(C40=D40,"PASS","FIX")</f>
        <v/>
      </c>
    </row>
    <row r="41">
      <c r="B41" s="8" t="inlineStr">
        <is>
          <t>Requirements (not Won't) with no implementation task</t>
        </is>
      </c>
      <c r="C41" s="9">
        <f>COUNTIFS(Requirements_RTM!$K$2:$K$138,"",Requirements_RTM!$E$2:$E$138,"&lt;&gt;W")</f>
        <v/>
      </c>
      <c r="D41" s="9" t="n">
        <v>0</v>
      </c>
      <c r="E41" s="11">
        <f>IF(C41=D41,"PASS","FIX")</f>
        <v/>
      </c>
    </row>
    <row r="42">
      <c r="B42" s="8" t="inlineStr">
        <is>
          <t>Requirements with no acceptance criteria</t>
        </is>
      </c>
      <c r="C42" s="9">
        <f>COUNTIFS(Requirements_RTM!$H$2:$H$138,"")</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38"/>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and password.</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t>
        </is>
      </c>
      <c r="K2" s="13" t="inlineStr">
        <is>
          <t>T-08</t>
        </is>
      </c>
      <c r="L2" s="13" t="inlineStr">
        <is>
          <t>feature/passenger-auth</t>
        </is>
      </c>
      <c r="M2" s="15" t="inlineStr">
        <is>
          <t>Proposed</t>
        </is>
      </c>
      <c r="N2" s="16" t="inlineStr"/>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Proposed</t>
        </is>
      </c>
      <c r="N3" s="16" t="inlineStr"/>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Proposed</t>
        </is>
      </c>
      <c r="N4" s="16" t="inlineStr"/>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Proposed</t>
        </is>
      </c>
      <c r="N5" s="16" t="inlineStr"/>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Proposed</t>
        </is>
      </c>
      <c r="N6" s="16" t="inlineStr"/>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Proposed</t>
        </is>
      </c>
      <c r="N7" s="16" t="inlineStr"/>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Proposed</t>
        </is>
      </c>
      <c r="N9" s="16" t="inlineStr"/>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Proposed</t>
        </is>
      </c>
      <c r="N10" s="16" t="inlineStr"/>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t>
        </is>
      </c>
      <c r="K11" s="17" t="inlineStr">
        <is>
          <t>T-13</t>
        </is>
      </c>
      <c r="L11" s="17" t="inlineStr">
        <is>
          <t>feature/ride-request</t>
        </is>
      </c>
      <c r="M11" s="15" t="inlineStr">
        <is>
          <t>Proposed</t>
        </is>
      </c>
      <c r="N11" s="16" t="inlineStr"/>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Proposed</t>
        </is>
      </c>
      <c r="N12" s="16" t="inlineStr"/>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Proposed</t>
        </is>
      </c>
      <c r="N13" s="16" t="inlineStr"/>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Proposed</t>
        </is>
      </c>
      <c r="N14" s="16" t="inlineStr"/>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Proposed</t>
        </is>
      </c>
      <c r="N16" s="16" t="inlineStr"/>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Proposed</t>
        </is>
      </c>
      <c r="N17" s="16" t="inlineStr"/>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Proposed</t>
        </is>
      </c>
      <c r="N18" s="16" t="inlineStr"/>
      <c r="O18" s="16" t="inlineStr"/>
      <c r="P18" s="4">
        <f>","&amp;SUBSTITUTE(F18," ","")&amp;","</f>
        <v/>
      </c>
    </row>
    <row r="19" ht="33" customHeight="1">
      <c r="A19" s="17" t="inlineStr">
        <is>
          <t>FR-DRV-01</t>
        </is>
      </c>
      <c r="B19" s="9" t="inlineStr">
        <is>
          <t>FR</t>
        </is>
      </c>
      <c r="C19" s="9" t="inlineStr">
        <is>
          <t>DRV</t>
        </is>
      </c>
      <c r="D19" s="17" t="inlineStr">
        <is>
          <t>A signed-in driver shall see their Tesla's name, plate and seat capacity.</t>
        </is>
      </c>
      <c r="E19" s="9" t="inlineStr">
        <is>
          <t>M</t>
        </is>
      </c>
      <c r="F19" s="9" t="inlineStr">
        <is>
          <t>3</t>
        </is>
      </c>
      <c r="G19" s="9" t="inlineStr">
        <is>
          <t>4.3</t>
        </is>
      </c>
      <c r="H19" s="17" t="inlineStr">
        <is>
          <t>Jashim sees "Bullet · DHAKA-TESLA-11 · 3 seats".</t>
        </is>
      </c>
      <c r="I19" s="9" t="inlineStr">
        <is>
          <t>T, D</t>
        </is>
      </c>
      <c r="J19" s="17" t="inlineStr">
        <is>
          <t>TC-40</t>
        </is>
      </c>
      <c r="K19" s="17" t="inlineStr">
        <is>
          <t>T-14, T-22</t>
        </is>
      </c>
      <c r="L19" s="17" t="inlineStr">
        <is>
          <t>feature/driver-flow, feature/driver-ui</t>
        </is>
      </c>
      <c r="M19" s="15" t="inlineStr">
        <is>
          <t>Proposed</t>
        </is>
      </c>
      <c r="N19" s="16" t="inlineStr"/>
      <c r="O19" s="16" t="inlineStr"/>
      <c r="P19" s="4">
        <f>","&amp;SUBSTITUTE(F19," ","")&amp;","</f>
        <v/>
      </c>
    </row>
    <row r="20" ht="33" customHeight="1">
      <c r="A20" s="13" t="inlineStr">
        <is>
          <t>FR-DRV-02</t>
        </is>
      </c>
      <c r="B20" s="14" t="inlineStr">
        <is>
          <t>FR</t>
        </is>
      </c>
      <c r="C20" s="14" t="inlineStr">
        <is>
          <t>DRV</t>
        </is>
      </c>
      <c r="D20" s="13" t="inlineStr">
        <is>
          <t>A driver shall be able to go online, selecting their current zone, and go offline.</t>
        </is>
      </c>
      <c r="E20" s="14" t="inlineStr">
        <is>
          <t>M</t>
        </is>
      </c>
      <c r="F20" s="14" t="inlineStr">
        <is>
          <t>3</t>
        </is>
      </c>
      <c r="G20" s="14" t="inlineStr">
        <is>
          <t>4.3</t>
        </is>
      </c>
      <c r="H20" s="13" t="inlineStr">
        <is>
          <t>Going online sets the driver ONLINE in the chosen zone. Going offline sets OFFLINE. Both are audited.</t>
        </is>
      </c>
      <c r="I20" s="14" t="inlineStr">
        <is>
          <t>T</t>
        </is>
      </c>
      <c r="J20" s="13" t="inlineStr">
        <is>
          <t>TC-22</t>
        </is>
      </c>
      <c r="K20" s="13" t="inlineStr">
        <is>
          <t>T-14, T-22</t>
        </is>
      </c>
      <c r="L20" s="13" t="inlineStr">
        <is>
          <t>feature/driver-flow, feature/driver-ui</t>
        </is>
      </c>
      <c r="M20" s="15" t="inlineStr">
        <is>
          <t>Proposed</t>
        </is>
      </c>
      <c r="N20" s="16" t="inlineStr"/>
      <c r="O20" s="16" t="inlineStr"/>
      <c r="P20" s="4">
        <f>","&amp;SUBSTITUTE(F20," ","")&amp;","</f>
        <v/>
      </c>
    </row>
    <row r="21" ht="33" customHeight="1">
      <c r="A21" s="17" t="inlineStr">
        <is>
          <t>FR-DRV-03</t>
        </is>
      </c>
      <c r="B21" s="9" t="inlineStr">
        <is>
          <t>FR</t>
        </is>
      </c>
      <c r="C21" s="9" t="inlineStr">
        <is>
          <t>DRV</t>
        </is>
      </c>
      <c r="D21" s="17" t="inlineStr">
        <is>
          <t>The system shall prevent a driver from going offline while they have an active pool.</t>
        </is>
      </c>
      <c r="E21" s="9" t="inlineStr">
        <is>
          <t>M</t>
        </is>
      </c>
      <c r="F21" s="9" t="inlineStr">
        <is>
          <t>3</t>
        </is>
      </c>
      <c r="G21" s="9" t="inlineStr">
        <is>
          <t>4.3</t>
        </is>
      </c>
      <c r="H21" s="17" t="inlineStr">
        <is>
          <t>Returns 409 ACTIVE_POOL_EXISTS. The UI disables the toggle and explains why.</t>
        </is>
      </c>
      <c r="I21" s="9" t="inlineStr">
        <is>
          <t>T</t>
        </is>
      </c>
      <c r="J21" s="17" t="inlineStr">
        <is>
          <t>TC-22</t>
        </is>
      </c>
      <c r="K21" s="17" t="inlineStr">
        <is>
          <t>T-14</t>
        </is>
      </c>
      <c r="L21" s="17" t="inlineStr">
        <is>
          <t>feature/driver-flow</t>
        </is>
      </c>
      <c r="M21" s="15" t="inlineStr">
        <is>
          <t>Proposed</t>
        </is>
      </c>
      <c r="N21" s="16" t="inlineStr"/>
      <c r="O21" s="16" t="inlineStr"/>
      <c r="P21" s="4">
        <f>","&amp;SUBSTITUTE(F21," ","")&amp;","</f>
        <v/>
      </c>
    </row>
    <row r="22" ht="93" customHeight="1">
      <c r="A22" s="13" t="inlineStr">
        <is>
          <t>FR-DRV-04</t>
        </is>
      </c>
      <c r="B22" s="14" t="inlineStr">
        <is>
          <t>FR</t>
        </is>
      </c>
      <c r="C22" s="14" t="inlineStr">
        <is>
          <t>DRV</t>
        </is>
      </c>
      <c r="D22" s="13"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2" s="14" t="inlineStr">
        <is>
          <t>M</t>
        </is>
      </c>
      <c r="F22" s="14" t="inlineStr">
        <is>
          <t>3, 4</t>
        </is>
      </c>
      <c r="G22" s="14" t="inlineStr">
        <is>
          <t>4.3</t>
        </is>
      </c>
      <c r="H22" s="13" t="inlineStr">
        <is>
          <t>With Jashim online in Banani and Nusrat's request pending, the list contains Nusrat. After accepting Nusrat, it contains Rafiq (compatible) and does not contain a Banani→Uttara request. An offline driver gets 409 DRIVER_OFFLINE.</t>
        </is>
      </c>
      <c r="I22" s="14" t="inlineStr">
        <is>
          <t>T</t>
        </is>
      </c>
      <c r="J22" s="13" t="inlineStr">
        <is>
          <t>TC-23</t>
        </is>
      </c>
      <c r="K22" s="13" t="inlineStr">
        <is>
          <t>T-14, T-22</t>
        </is>
      </c>
      <c r="L22" s="13" t="inlineStr">
        <is>
          <t>feature/driver-flow, feature/driver-ui</t>
        </is>
      </c>
      <c r="M22" s="15" t="inlineStr">
        <is>
          <t>Proposed</t>
        </is>
      </c>
      <c r="N22" s="16" t="inlineStr"/>
      <c r="O22" s="16" t="inlineStr"/>
      <c r="P22" s="4">
        <f>","&amp;SUBSTITUTE(F22," ","")&amp;","</f>
        <v/>
      </c>
    </row>
    <row r="23" ht="63" customHeight="1">
      <c r="A23" s="17" t="inlineStr">
        <is>
          <t>FR-DRV-05</t>
        </is>
      </c>
      <c r="B23" s="9" t="inlineStr">
        <is>
          <t>FR</t>
        </is>
      </c>
      <c r="C23" s="9" t="inlineStr">
        <is>
          <t>DRV</t>
        </is>
      </c>
      <c r="D23" s="17" t="inlineStr">
        <is>
          <t>A driver shall be able to accept a relevant request. If the driver has no active pool, a new pool is created. If the driver has an OPEN pool, the request is added to it.</t>
        </is>
      </c>
      <c r="E23" s="9" t="inlineStr">
        <is>
          <t>M</t>
        </is>
      </c>
      <c r="F23" s="9" t="inlineStr">
        <is>
          <t>3</t>
        </is>
      </c>
      <c r="G23" s="9" t="inlineStr">
        <is>
          <t>4.3</t>
        </is>
      </c>
      <c r="H23" s="17" t="inlineStr">
        <is>
          <t>The request moves to MATCHED and becomes a pool member, and occupied seats go up by its seat count, all in one transaction. The server re-checks every rule (BR-01…BR-05) at accept time. A rule violation returns 409 or 422 with a specific code.</t>
        </is>
      </c>
      <c r="I23" s="9" t="inlineStr">
        <is>
          <t>T</t>
        </is>
      </c>
      <c r="J23" s="17" t="inlineStr">
        <is>
          <t>TC-25</t>
        </is>
      </c>
      <c r="K23" s="17" t="inlineStr">
        <is>
          <t>T-15</t>
        </is>
      </c>
      <c r="L23" s="17" t="inlineStr">
        <is>
          <t>feature/tesla-pooling</t>
        </is>
      </c>
      <c r="M23" s="15" t="inlineStr">
        <is>
          <t>Proposed</t>
        </is>
      </c>
      <c r="N23" s="16" t="inlineStr"/>
      <c r="O23" s="16" t="inlineStr"/>
      <c r="P23" s="4">
        <f>","&amp;SUBSTITUTE(F23," ","")&amp;","</f>
        <v/>
      </c>
    </row>
    <row r="24" ht="48" customHeight="1">
      <c r="A24" s="13" t="inlineStr">
        <is>
          <t>FR-DRV-06</t>
        </is>
      </c>
      <c r="B24" s="14" t="inlineStr">
        <is>
          <t>FR</t>
        </is>
      </c>
      <c r="C24" s="14" t="inlineStr">
        <is>
          <t>DRV</t>
        </is>
      </c>
      <c r="D24" s="13" t="inlineStr">
        <is>
          <t>The driver shall see the active pool: status, occupied and free seats, and for each member the passenger's name, pickup, destination, seats, status, payment method and fare.</t>
        </is>
      </c>
      <c r="E24" s="14" t="inlineStr">
        <is>
          <t>M</t>
        </is>
      </c>
      <c r="F24" s="14" t="inlineStr">
        <is>
          <t>2, 3</t>
        </is>
      </c>
      <c r="G24" s="14" t="inlineStr">
        <is>
          <t>4.3</t>
        </is>
      </c>
      <c r="H24" s="13" t="inlineStr">
        <is>
          <t>With Nusrat and Rafiq matched, Jashim sees "2 / 3 seats occupied" and both members with their fares.</t>
        </is>
      </c>
      <c r="I24" s="14" t="inlineStr">
        <is>
          <t>T, D</t>
        </is>
      </c>
      <c r="J24" s="13" t="inlineStr">
        <is>
          <t>TC-25</t>
        </is>
      </c>
      <c r="K24" s="13" t="inlineStr">
        <is>
          <t>T-17, T-22</t>
        </is>
      </c>
      <c r="L24" s="13" t="inlineStr">
        <is>
          <t>feature/driver-flow, feature/driver-ui</t>
        </is>
      </c>
      <c r="M24" s="15" t="inlineStr">
        <is>
          <t>Proposed</t>
        </is>
      </c>
      <c r="N24" s="16" t="inlineStr"/>
      <c r="O24" s="16" t="inlineStr"/>
      <c r="P24" s="4">
        <f>","&amp;SUBSTITUTE(F24," ","")&amp;","</f>
        <v/>
      </c>
    </row>
    <row r="25" ht="33" customHeight="1">
      <c r="A25" s="17" t="inlineStr">
        <is>
          <t>FR-DRV-07</t>
        </is>
      </c>
      <c r="B25" s="9" t="inlineStr">
        <is>
          <t>FR</t>
        </is>
      </c>
      <c r="C25" s="9" t="inlineStr">
        <is>
          <t>DRV</t>
        </is>
      </c>
      <c r="D25" s="17" t="inlineStr">
        <is>
          <t>The driver shall be able to mark the pool as arrived at the pickup zone.</t>
        </is>
      </c>
      <c r="E25" s="9" t="inlineStr">
        <is>
          <t>M</t>
        </is>
      </c>
      <c r="F25" s="9" t="inlineStr">
        <is>
          <t>3</t>
        </is>
      </c>
      <c r="G25" s="9" t="inlineStr">
        <is>
          <t>4.3</t>
        </is>
      </c>
      <c r="H25" s="17" t="inlineStr">
        <is>
          <t>The pool moves OPEN→DRIVER_ARRIVED, and every MATCHED member moves to DRIVER_ARRIVED.</t>
        </is>
      </c>
      <c r="I25" s="9" t="inlineStr">
        <is>
          <t>T</t>
        </is>
      </c>
      <c r="J25" s="17" t="inlineStr">
        <is>
          <t>TC-25</t>
        </is>
      </c>
      <c r="K25" s="17" t="inlineStr">
        <is>
          <t>T-17, T-22</t>
        </is>
      </c>
      <c r="L25" s="17" t="inlineStr">
        <is>
          <t>feature/driver-flow, feature/driver-ui</t>
        </is>
      </c>
      <c r="M25" s="15" t="inlineStr">
        <is>
          <t>Proposed</t>
        </is>
      </c>
      <c r="N25" s="16" t="inlineStr"/>
      <c r="O25" s="16" t="inlineStr"/>
      <c r="P25" s="4">
        <f>","&amp;SUBSTITUTE(F25," ","")&amp;","</f>
        <v/>
      </c>
    </row>
    <row r="26" ht="48" customHeight="1">
      <c r="A26" s="13" t="inlineStr">
        <is>
          <t>FR-DRV-08</t>
        </is>
      </c>
      <c r="B26" s="14" t="inlineStr">
        <is>
          <t>FR</t>
        </is>
      </c>
      <c r="C26" s="14" t="inlineStr">
        <is>
          <t>DRV</t>
        </is>
      </c>
      <c r="D26" s="13" t="inlineStr">
        <is>
          <t>The driver shall be able to start the trip.</t>
        </is>
      </c>
      <c r="E26" s="14" t="inlineStr">
        <is>
          <t>M</t>
        </is>
      </c>
      <c r="F26" s="14" t="inlineStr">
        <is>
          <t>3</t>
        </is>
      </c>
      <c r="G26" s="14" t="inlineStr">
        <is>
          <t>4.3</t>
        </is>
      </c>
      <c r="H26" s="13" t="inlineStr">
        <is>
          <t>The pool moves DRIVER_ARRIVED→STARTED, and every DRIVER_ARRIVED member moves to STARTED. Fares are locked (BR-12). Starting is rejected if the pool has no member in DRIVER_ARRIVED.</t>
        </is>
      </c>
      <c r="I26" s="14" t="inlineStr">
        <is>
          <t>T</t>
        </is>
      </c>
      <c r="J26" s="13" t="inlineStr">
        <is>
          <t>TC-25</t>
        </is>
      </c>
      <c r="K26" s="13" t="inlineStr">
        <is>
          <t>T-17, T-22</t>
        </is>
      </c>
      <c r="L26" s="13" t="inlineStr">
        <is>
          <t>feature/driver-flow, feature/driver-ui</t>
        </is>
      </c>
      <c r="M26" s="15" t="inlineStr">
        <is>
          <t>Proposed</t>
        </is>
      </c>
      <c r="N26" s="16" t="inlineStr"/>
      <c r="O26" s="16" t="inlineStr"/>
      <c r="P26" s="4">
        <f>","&amp;SUBSTITUTE(F26," ","")&amp;","</f>
        <v/>
      </c>
    </row>
    <row r="27" ht="63" customHeight="1">
      <c r="A27" s="17" t="inlineStr">
        <is>
          <t>FR-DRV-09</t>
        </is>
      </c>
      <c r="B27" s="9" t="inlineStr">
        <is>
          <t>FR</t>
        </is>
      </c>
      <c r="C27" s="9" t="inlineStr">
        <is>
          <t>DRV</t>
        </is>
      </c>
      <c r="D27" s="17" t="inlineStr">
        <is>
          <t>The driver shall be able to drop off (complete) each passenger individually, in any order.</t>
        </is>
      </c>
      <c r="E27" s="9" t="inlineStr">
        <is>
          <t>M</t>
        </is>
      </c>
      <c r="F27" s="9" t="inlineStr">
        <is>
          <t>3</t>
        </is>
      </c>
      <c r="G27" s="9" t="inlineStr">
        <is>
          <t>4.3</t>
        </is>
      </c>
      <c r="H27" s="17" t="inlineStr">
        <is>
          <t>The member moves STARTED→COMPLETED and payment is settled (BR-15/BR-16). When the last member is completed, the pool automatically becomes COMPLETED and the driver's current zone is set to the last drop-off zone.</t>
        </is>
      </c>
      <c r="I27" s="9" t="inlineStr">
        <is>
          <t>T</t>
        </is>
      </c>
      <c r="J27" s="17" t="inlineStr">
        <is>
          <t>TC-25</t>
        </is>
      </c>
      <c r="K27" s="17" t="inlineStr">
        <is>
          <t>T-17, T-22</t>
        </is>
      </c>
      <c r="L27" s="17" t="inlineStr">
        <is>
          <t>feature/driver-flow, feature/driver-ui</t>
        </is>
      </c>
      <c r="M27" s="15" t="inlineStr">
        <is>
          <t>Proposed</t>
        </is>
      </c>
      <c r="N27" s="16" t="inlineStr"/>
      <c r="O27" s="16" t="inlineStr"/>
      <c r="P27" s="4">
        <f>","&amp;SUBSTITUTE(F27," ","")&amp;","</f>
        <v/>
      </c>
    </row>
    <row r="28" ht="33" customHeight="1">
      <c r="A28" s="13" t="inlineStr">
        <is>
          <t>FR-DRV-10</t>
        </is>
      </c>
      <c r="B28" s="14" t="inlineStr">
        <is>
          <t>FR</t>
        </is>
      </c>
      <c r="C28" s="14" t="inlineStr">
        <is>
          <t>DRV</t>
        </is>
      </c>
      <c r="D28" s="13" t="inlineStr">
        <is>
          <t>For cash payments, the driver shall be able to mark cash as collected.</t>
        </is>
      </c>
      <c r="E28" s="14" t="inlineStr">
        <is>
          <t>M</t>
        </is>
      </c>
      <c r="F28" s="14" t="inlineStr">
        <is>
          <t>5</t>
        </is>
      </c>
      <c r="G28" s="14" t="inlineStr">
        <is>
          <t>4.3</t>
        </is>
      </c>
      <c r="H28" s="13" t="inlineStr">
        <is>
          <t>The payment status for that member becomes PAID with method CASH. This action is audited.</t>
        </is>
      </c>
      <c r="I28" s="14" t="inlineStr">
        <is>
          <t>T</t>
        </is>
      </c>
      <c r="J28" s="13" t="inlineStr">
        <is>
          <t>TC-27</t>
        </is>
      </c>
      <c r="K28" s="13" t="inlineStr">
        <is>
          <t>T-18, T-22</t>
        </is>
      </c>
      <c r="L28" s="13" t="inlineStr">
        <is>
          <t>feature/teslapay-wallet, feature/driver-ui</t>
        </is>
      </c>
      <c r="M28" s="15" t="inlineStr">
        <is>
          <t>Proposed</t>
        </is>
      </c>
      <c r="N28" s="16" t="inlineStr"/>
      <c r="O28" s="16" t="inlineStr"/>
      <c r="P28" s="4">
        <f>","&amp;SUBSTITUTE(F28," ","")&amp;","</f>
        <v/>
      </c>
    </row>
    <row r="29" ht="48" customHeight="1">
      <c r="A29" s="17" t="inlineStr">
        <is>
          <t>FR-DRV-11</t>
        </is>
      </c>
      <c r="B29" s="9" t="inlineStr">
        <is>
          <t>FR</t>
        </is>
      </c>
      <c r="C29" s="9" t="inlineStr">
        <is>
          <t>DRV</t>
        </is>
      </c>
      <c r="D29" s="17" t="inlineStr">
        <is>
          <t>The driver shall be able to cancel the pool before the trip starts.</t>
        </is>
      </c>
      <c r="E29" s="9" t="inlineStr">
        <is>
          <t>M</t>
        </is>
      </c>
      <c r="F29" s="9" t="inlineStr">
        <is>
          <t>3</t>
        </is>
      </c>
      <c r="G29" s="9" t="inlineStr">
        <is>
          <t>4.3</t>
        </is>
      </c>
      <c r="H29" s="17" t="inlineStr">
        <is>
          <t>The pool moves to CANCELLED. Active members move back to REQUESTED so another driver can pick them up, and passengers are not charged. Cancelling after STARTED returns 409.</t>
        </is>
      </c>
      <c r="I29" s="9" t="inlineStr">
        <is>
          <t>T</t>
        </is>
      </c>
      <c r="J29" s="17" t="inlineStr">
        <is>
          <t>TC-15</t>
        </is>
      </c>
      <c r="K29" s="17" t="inlineStr">
        <is>
          <t>T-17, T-22</t>
        </is>
      </c>
      <c r="L29" s="17" t="inlineStr">
        <is>
          <t>feature/driver-flow, feature/driver-ui</t>
        </is>
      </c>
      <c r="M29" s="15" t="inlineStr">
        <is>
          <t>Proposed</t>
        </is>
      </c>
      <c r="N29" s="16" t="inlineStr"/>
      <c r="O29" s="16" t="inlineStr"/>
      <c r="P29" s="4">
        <f>","&amp;SUBSTITUTE(F29," ","")&amp;","</f>
        <v/>
      </c>
    </row>
    <row r="30" ht="33" customHeight="1">
      <c r="A30" s="13" t="inlineStr">
        <is>
          <t>FR-DRV-12</t>
        </is>
      </c>
      <c r="B30" s="14" t="inlineStr">
        <is>
          <t>FR</t>
        </is>
      </c>
      <c r="C30" s="14" t="inlineStr">
        <is>
          <t>DRV</t>
        </is>
      </c>
      <c r="D30" s="13" t="inlineStr">
        <is>
          <t>The driver shall be able to mark an arrived passenger as a no-show after a 5-minute wait.</t>
        </is>
      </c>
      <c r="E30" s="14" t="inlineStr">
        <is>
          <t>C</t>
        </is>
      </c>
      <c r="F30" s="14" t="inlineStr">
        <is>
          <t>3</t>
        </is>
      </c>
      <c r="G30" s="14" t="inlineStr">
        <is>
          <t>4.3</t>
        </is>
      </c>
      <c r="H30" s="13" t="inlineStr">
        <is>
          <t>The member moves DRIVER_ARRIVED→CANCELLED with reason NO_SHOW, and the ৳20 fee applies (BR-07).</t>
        </is>
      </c>
      <c r="I30" s="14" t="inlineStr">
        <is>
          <t>T</t>
        </is>
      </c>
      <c r="J30" s="13" t="inlineStr">
        <is>
          <t>TC-43</t>
        </is>
      </c>
      <c r="K30" s="13" t="inlineStr">
        <is>
          <t>T-17</t>
        </is>
      </c>
      <c r="L30" s="13" t="inlineStr">
        <is>
          <t>feature/driver-flow</t>
        </is>
      </c>
      <c r="M30" s="15" t="inlineStr">
        <is>
          <t>Proposed</t>
        </is>
      </c>
      <c r="N30" s="16" t="inlineStr"/>
      <c r="O30" s="16" t="inlineStr"/>
      <c r="P30" s="4">
        <f>","&amp;SUBSTITUTE(F30," ","")&amp;","</f>
        <v/>
      </c>
    </row>
    <row r="31" ht="33" customHeight="1">
      <c r="A31" s="17" t="inlineStr">
        <is>
          <t>FR-DRV-13</t>
        </is>
      </c>
      <c r="B31" s="9" t="inlineStr">
        <is>
          <t>FR</t>
        </is>
      </c>
      <c r="C31" s="9" t="inlineStr">
        <is>
          <t>DRV</t>
        </is>
      </c>
      <c r="D31" s="17" t="inlineStr">
        <is>
          <t>The driver shall see their ride history: past pools with date, route(s), members, final status and total fare per pool.</t>
        </is>
      </c>
      <c r="E31" s="9" t="inlineStr">
        <is>
          <t>M</t>
        </is>
      </c>
      <c r="F31" s="9" t="inlineStr">
        <is>
          <t>3</t>
        </is>
      </c>
      <c r="G31" s="9" t="inlineStr">
        <is>
          <t>4.3</t>
        </is>
      </c>
      <c r="H31" s="17" t="inlineStr">
        <is>
          <t>The history contains only the driver's own pools.</t>
        </is>
      </c>
      <c r="I31" s="9" t="inlineStr">
        <is>
          <t>T, D</t>
        </is>
      </c>
      <c r="J31" s="17" t="inlineStr">
        <is>
          <t>TC-40</t>
        </is>
      </c>
      <c r="K31" s="17" t="inlineStr">
        <is>
          <t>T-17, T-22</t>
        </is>
      </c>
      <c r="L31" s="17" t="inlineStr">
        <is>
          <t>feature/driver-flow, feature/driver-ui</t>
        </is>
      </c>
      <c r="M31" s="15" t="inlineStr">
        <is>
          <t>Proposed</t>
        </is>
      </c>
      <c r="N31" s="16" t="inlineStr"/>
      <c r="O31" s="16" t="inlineStr"/>
      <c r="P31" s="4">
        <f>","&amp;SUBSTITUTE(F31," ","")&amp;","</f>
        <v/>
      </c>
    </row>
    <row r="32" ht="33" customHeight="1">
      <c r="A32" s="13" t="inlineStr">
        <is>
          <t>FR-POOL-01</t>
        </is>
      </c>
      <c r="B32" s="14" t="inlineStr">
        <is>
          <t>FR</t>
        </is>
      </c>
      <c r="C32" s="14" t="inlineStr">
        <is>
          <t>POOL</t>
        </is>
      </c>
      <c r="D32" s="13" t="inlineStr">
        <is>
          <t>A pool shall be created on the driver's first acceptance and linked to exactly one driver and one vehicle, with status OPEN.</t>
        </is>
      </c>
      <c r="E32" s="14" t="inlineStr">
        <is>
          <t>M</t>
        </is>
      </c>
      <c r="F32" s="14" t="inlineStr">
        <is>
          <t>3</t>
        </is>
      </c>
      <c r="G32" s="14" t="inlineStr">
        <is>
          <t>4.4</t>
        </is>
      </c>
      <c r="H32" s="13" t="inlineStr">
        <is>
          <t>The pool row references driver and vehicle, and its creation is audited.</t>
        </is>
      </c>
      <c r="I32" s="14" t="inlineStr">
        <is>
          <t>T</t>
        </is>
      </c>
      <c r="J32" s="13" t="inlineStr">
        <is>
          <t>TC-25</t>
        </is>
      </c>
      <c r="K32" s="13" t="inlineStr">
        <is>
          <t>T-15</t>
        </is>
      </c>
      <c r="L32" s="13" t="inlineStr">
        <is>
          <t>feature/tesla-pooling</t>
        </is>
      </c>
      <c r="M32" s="15" t="inlineStr">
        <is>
          <t>Proposed</t>
        </is>
      </c>
      <c r="N32" s="16" t="inlineStr"/>
      <c r="O32" s="16" t="inlineStr"/>
      <c r="P32" s="4">
        <f>","&amp;SUBSTITUTE(F32," ","")&amp;","</f>
        <v/>
      </c>
    </row>
    <row r="33" ht="48" customHeight="1">
      <c r="A33" s="17" t="inlineStr">
        <is>
          <t>FR-POOL-02</t>
        </is>
      </c>
      <c r="B33" s="9" t="inlineStr">
        <is>
          <t>FR</t>
        </is>
      </c>
      <c r="C33" s="9" t="inlineStr">
        <is>
          <t>POOL</t>
        </is>
      </c>
      <c r="D33" s="17" t="inlineStr">
        <is>
          <t>The occupied seats of a pool shall never exceed its vehicle's capacity, under any sequence or concurrency of operations.</t>
        </is>
      </c>
      <c r="E33" s="9" t="inlineStr">
        <is>
          <t>M</t>
        </is>
      </c>
      <c r="F33" s="9" t="inlineStr">
        <is>
          <t>3, 12</t>
        </is>
      </c>
      <c r="G33" s="9" t="inlineStr">
        <is>
          <t>4.4</t>
        </is>
      </c>
      <c r="H33" s="17" t="inlineStr">
        <is>
          <t>Accepting a request that needs more seats than are free returns 409 CAPACITY_EXCEEDED. The concurrency test in NFR-CON-01 passes.</t>
        </is>
      </c>
      <c r="I33" s="9" t="inlineStr">
        <is>
          <t>T</t>
        </is>
      </c>
      <c r="J33" s="17" t="inlineStr">
        <is>
          <t>TC-01, TC-07</t>
        </is>
      </c>
      <c r="K33" s="17" t="inlineStr">
        <is>
          <t>T-15</t>
        </is>
      </c>
      <c r="L33" s="17" t="inlineStr">
        <is>
          <t>feature/tesla-pooling</t>
        </is>
      </c>
      <c r="M33" s="15" t="inlineStr">
        <is>
          <t>Proposed</t>
        </is>
      </c>
      <c r="N33" s="16" t="inlineStr"/>
      <c r="O33" s="16" t="inlineStr"/>
      <c r="P33" s="4">
        <f>","&amp;SUBSTITUTE(F33," ","")&amp;","</f>
        <v/>
      </c>
    </row>
    <row r="34" ht="33" customHeight="1">
      <c r="A34" s="13" t="inlineStr">
        <is>
          <t>FR-POOL-03</t>
        </is>
      </c>
      <c r="B34" s="14" t="inlineStr">
        <is>
          <t>FR</t>
        </is>
      </c>
      <c r="C34" s="14" t="inlineStr">
        <is>
          <t>POOL</t>
        </is>
      </c>
      <c r="D34" s="13" t="inlineStr">
        <is>
          <t>Compatibility (BR-02) shall be enforced on the server at accept time, not only by filtering the request list.</t>
        </is>
      </c>
      <c r="E34" s="14" t="inlineStr">
        <is>
          <t>M</t>
        </is>
      </c>
      <c r="F34" s="14" t="inlineStr">
        <is>
          <t>4</t>
        </is>
      </c>
      <c r="G34" s="14" t="inlineStr">
        <is>
          <t>4.4</t>
        </is>
      </c>
      <c r="H34" s="13" t="inlineStr">
        <is>
          <t>A crafted accept call for an incompatible request returns 422 NOT_COMPATIBLE.</t>
        </is>
      </c>
      <c r="I34" s="14" t="inlineStr">
        <is>
          <t>T</t>
        </is>
      </c>
      <c r="J34" s="13" t="inlineStr">
        <is>
          <t>TC-20</t>
        </is>
      </c>
      <c r="K34" s="13" t="inlineStr">
        <is>
          <t>T-15</t>
        </is>
      </c>
      <c r="L34" s="13" t="inlineStr">
        <is>
          <t>feature/tesla-pooling</t>
        </is>
      </c>
      <c r="M34" s="15" t="inlineStr">
        <is>
          <t>Proposed</t>
        </is>
      </c>
      <c r="N34" s="16" t="inlineStr"/>
      <c r="O34" s="16" t="inlineStr"/>
      <c r="P34" s="4">
        <f>","&amp;SUBSTITUTE(F34," ","")&amp;","</f>
        <v/>
      </c>
    </row>
    <row r="35" ht="48" customHeight="1">
      <c r="A35" s="17" t="inlineStr">
        <is>
          <t>FR-POOL-04</t>
        </is>
      </c>
      <c r="B35" s="9" t="inlineStr">
        <is>
          <t>FR</t>
        </is>
      </c>
      <c r="C35" s="9" t="inlineStr">
        <is>
          <t>POOL</t>
        </is>
      </c>
      <c r="D35" s="17" t="inlineStr">
        <is>
          <t>A request with pool opt-in = false shall form a private pool that no other request can join. A request with opt-in = false cannot join an existing pool.</t>
        </is>
      </c>
      <c r="E35" s="9" t="inlineStr">
        <is>
          <t>M</t>
        </is>
      </c>
      <c r="F35" s="9" t="inlineStr">
        <is>
          <t>2</t>
        </is>
      </c>
      <c r="G35" s="9" t="inlineStr">
        <is>
          <t>4.4</t>
        </is>
      </c>
      <c r="H35" s="17" t="inlineStr">
        <is>
          <t>Accepting a second request into a private pool returns 422 NOT_COMPATIBLE.</t>
        </is>
      </c>
      <c r="I35" s="9" t="inlineStr">
        <is>
          <t>T</t>
        </is>
      </c>
      <c r="J35" s="17" t="inlineStr">
        <is>
          <t>TC-20</t>
        </is>
      </c>
      <c r="K35" s="17" t="inlineStr">
        <is>
          <t>T-15</t>
        </is>
      </c>
      <c r="L35" s="17" t="inlineStr">
        <is>
          <t>feature/tesla-pooling</t>
        </is>
      </c>
      <c r="M35" s="15" t="inlineStr">
        <is>
          <t>Proposed</t>
        </is>
      </c>
      <c r="N35" s="16" t="inlineStr"/>
      <c r="O35" s="16" t="inlineStr"/>
      <c r="P35" s="4">
        <f>","&amp;SUBSTITUTE(F35," ","")&amp;","</f>
        <v/>
      </c>
    </row>
    <row r="36" ht="33" customHeight="1">
      <c r="A36" s="13" t="inlineStr">
        <is>
          <t>FR-POOL-05</t>
        </is>
      </c>
      <c r="B36" s="14" t="inlineStr">
        <is>
          <t>FR</t>
        </is>
      </c>
      <c r="C36" s="14" t="inlineStr">
        <is>
          <t>POOL</t>
        </is>
      </c>
      <c r="D36" s="13" t="inlineStr">
        <is>
          <t>New members may join a pool only while the pool is OPEN.</t>
        </is>
      </c>
      <c r="E36" s="14" t="inlineStr">
        <is>
          <t>M</t>
        </is>
      </c>
      <c r="F36" s="14" t="inlineStr">
        <is>
          <t>3</t>
        </is>
      </c>
      <c r="G36" s="14" t="inlineStr">
        <is>
          <t>4.4</t>
        </is>
      </c>
      <c r="H36" s="13" t="inlineStr">
        <is>
          <t>Accepting into a DRIVER_ARRIVED or STARTED pool returns 409 POOL_NOT_OPEN.</t>
        </is>
      </c>
      <c r="I36" s="14" t="inlineStr">
        <is>
          <t>T</t>
        </is>
      </c>
      <c r="J36" s="13" t="inlineStr">
        <is>
          <t>TC-02, TC-21</t>
        </is>
      </c>
      <c r="K36" s="13" t="inlineStr">
        <is>
          <t>T-15</t>
        </is>
      </c>
      <c r="L36" s="13" t="inlineStr">
        <is>
          <t>feature/tesla-pooling</t>
        </is>
      </c>
      <c r="M36" s="15" t="inlineStr">
        <is>
          <t>Proposed</t>
        </is>
      </c>
      <c r="N36" s="16" t="inlineStr"/>
      <c r="O36" s="16" t="inlineStr"/>
      <c r="P36" s="4">
        <f>","&amp;SUBSTITUTE(F36," ","")&amp;","</f>
        <v/>
      </c>
    </row>
    <row r="37" ht="33" customHeight="1">
      <c r="A37" s="17" t="inlineStr">
        <is>
          <t>FR-POOL-06</t>
        </is>
      </c>
      <c r="B37" s="9" t="inlineStr">
        <is>
          <t>FR</t>
        </is>
      </c>
      <c r="C37" s="9" t="inlineStr">
        <is>
          <t>POOL</t>
        </is>
      </c>
      <c r="D37" s="17" t="inlineStr">
        <is>
          <t>A member's cancellation shall free their seats immediately.</t>
        </is>
      </c>
      <c r="E37" s="9" t="inlineStr">
        <is>
          <t>M</t>
        </is>
      </c>
      <c r="F37" s="9" t="inlineStr">
        <is>
          <t>3</t>
        </is>
      </c>
      <c r="G37" s="9" t="inlineStr">
        <is>
          <t>4.4</t>
        </is>
      </c>
      <c r="H37" s="17" t="inlineStr">
        <is>
          <t>After Rafiq cancels in MATCHED, occupied seats drop from 2 to 1, and Shirin becomes acceptable.</t>
        </is>
      </c>
      <c r="I37" s="9" t="inlineStr">
        <is>
          <t>T</t>
        </is>
      </c>
      <c r="J37" s="17" t="inlineStr">
        <is>
          <t>TC-16</t>
        </is>
      </c>
      <c r="K37" s="17" t="inlineStr">
        <is>
          <t>T-17</t>
        </is>
      </c>
      <c r="L37" s="17" t="inlineStr">
        <is>
          <t>feature/driver-flow</t>
        </is>
      </c>
      <c r="M37" s="15" t="inlineStr">
        <is>
          <t>Proposed</t>
        </is>
      </c>
      <c r="N37" s="16" t="inlineStr"/>
      <c r="O37" s="16" t="inlineStr"/>
      <c r="P37" s="4">
        <f>","&amp;SUBSTITUTE(F37," ","")&amp;","</f>
        <v/>
      </c>
    </row>
    <row r="38" ht="33" customHeight="1">
      <c r="A38" s="13" t="inlineStr">
        <is>
          <t>FR-POOL-07</t>
        </is>
      </c>
      <c r="B38" s="14" t="inlineStr">
        <is>
          <t>FR</t>
        </is>
      </c>
      <c r="C38" s="14" t="inlineStr">
        <is>
          <t>POOL</t>
        </is>
      </c>
      <c r="D38" s="13" t="inlineStr">
        <is>
          <t>If a pool has no active members before it starts, it shall be cancelled automatically, freeing the driver.</t>
        </is>
      </c>
      <c r="E38" s="14" t="inlineStr">
        <is>
          <t>M</t>
        </is>
      </c>
      <c r="F38" s="14" t="inlineStr">
        <is>
          <t>3</t>
        </is>
      </c>
      <c r="G38" s="14" t="inlineStr">
        <is>
          <t>4.4</t>
        </is>
      </c>
      <c r="H38" s="13" t="inlineStr">
        <is>
          <t>When Nusrat, the only member, cancels, the pool becomes CANCELLED with reason ALL_MEMBERS_CANCELLED.</t>
        </is>
      </c>
      <c r="I38" s="14" t="inlineStr">
        <is>
          <t>T</t>
        </is>
      </c>
      <c r="J38" s="13" t="inlineStr">
        <is>
          <t>TC-16</t>
        </is>
      </c>
      <c r="K38" s="13" t="inlineStr">
        <is>
          <t>T-17</t>
        </is>
      </c>
      <c r="L38" s="13" t="inlineStr">
        <is>
          <t>feature/driver-flow</t>
        </is>
      </c>
      <c r="M38" s="15" t="inlineStr">
        <is>
          <t>Proposed</t>
        </is>
      </c>
      <c r="N38" s="16" t="inlineStr"/>
      <c r="O38" s="16" t="inlineStr"/>
      <c r="P38" s="4">
        <f>","&amp;SUBSTITUTE(F38," ","")&amp;","</f>
        <v/>
      </c>
    </row>
    <row r="39" ht="33" customHeight="1">
      <c r="A39" s="17" t="inlineStr">
        <is>
          <t>FR-POOL-08</t>
        </is>
      </c>
      <c r="B39" s="9" t="inlineStr">
        <is>
          <t>FR</t>
        </is>
      </c>
      <c r="C39" s="9" t="inlineStr">
        <is>
          <t>POOL</t>
        </is>
      </c>
      <c r="D39" s="17" t="inlineStr">
        <is>
          <t>A pool shall be completed automatically when its last on-board member is completed.</t>
        </is>
      </c>
      <c r="E39" s="9" t="inlineStr">
        <is>
          <t>M</t>
        </is>
      </c>
      <c r="F39" s="9" t="inlineStr">
        <is>
          <t>3</t>
        </is>
      </c>
      <c r="G39" s="9" t="inlineStr">
        <is>
          <t>4.4</t>
        </is>
      </c>
      <c r="H39" s="17" t="inlineStr">
        <is>
          <t>The pool status is COMPLETED and completed_at is set.</t>
        </is>
      </c>
      <c r="I39" s="9" t="inlineStr">
        <is>
          <t>T</t>
        </is>
      </c>
      <c r="J39" s="17" t="inlineStr">
        <is>
          <t>TC-25</t>
        </is>
      </c>
      <c r="K39" s="17" t="inlineStr">
        <is>
          <t>T-17</t>
        </is>
      </c>
      <c r="L39" s="17" t="inlineStr">
        <is>
          <t>feature/driver-flow</t>
        </is>
      </c>
      <c r="M39" s="15" t="inlineStr">
        <is>
          <t>Proposed</t>
        </is>
      </c>
      <c r="N39" s="16" t="inlineStr"/>
      <c r="O39" s="16" t="inlineStr"/>
      <c r="P39" s="4">
        <f>","&amp;SUBSTITUTE(F39," ","")&amp;","</f>
        <v/>
      </c>
    </row>
    <row r="40" ht="48" customHeight="1">
      <c r="A40" s="13" t="inlineStr">
        <is>
          <t>FR-POOL-09</t>
        </is>
      </c>
      <c r="B40" s="14" t="inlineStr">
        <is>
          <t>FR</t>
        </is>
      </c>
      <c r="C40" s="14" t="inlineStr">
        <is>
          <t>POOL</t>
        </is>
      </c>
      <c r="D40" s="13" t="inlineStr">
        <is>
          <t>A ride request shall belong to at most one active pool at a time.</t>
        </is>
      </c>
      <c r="E40" s="14" t="inlineStr">
        <is>
          <t>M</t>
        </is>
      </c>
      <c r="F40" s="14" t="inlineStr">
        <is>
          <t>3</t>
        </is>
      </c>
      <c r="G40" s="14" t="inlineStr">
        <is>
          <t>4.4</t>
        </is>
      </c>
      <c r="H40" s="13" t="inlineStr">
        <is>
          <t>Enforced by a unique constraint. Two drivers accepting the same request concurrently gives exactly one success; the other gets 409 INVALID_STATE_TRANSITION.</t>
        </is>
      </c>
      <c r="I40" s="14" t="inlineStr">
        <is>
          <t>T</t>
        </is>
      </c>
      <c r="J40" s="13" t="inlineStr">
        <is>
          <t>TC-06</t>
        </is>
      </c>
      <c r="K40" s="13" t="inlineStr">
        <is>
          <t>T-06, T-15</t>
        </is>
      </c>
      <c r="L40" s="13" t="inlineStr">
        <is>
          <t>feature/db-schema, feature/tesla-pooling</t>
        </is>
      </c>
      <c r="M40" s="15" t="inlineStr">
        <is>
          <t>Proposed</t>
        </is>
      </c>
      <c r="N40" s="16" t="inlineStr"/>
      <c r="O40" s="16" t="inlineStr"/>
      <c r="P40" s="4">
        <f>","&amp;SUBSTITUTE(F40," ","")&amp;","</f>
        <v/>
      </c>
    </row>
    <row r="41" ht="48" customHeight="1">
      <c r="A41" s="17" t="inlineStr">
        <is>
          <t>FR-POOL-10</t>
        </is>
      </c>
      <c r="B41" s="9" t="inlineStr">
        <is>
          <t>FR</t>
        </is>
      </c>
      <c r="C41" s="9" t="inlineStr">
        <is>
          <t>POOL</t>
        </is>
      </c>
      <c r="D41" s="17" t="inlineStr">
        <is>
          <t>Pool membership shall be explicit and queryable. For any pool it shall be possible to list its members and each member's seats and status.</t>
        </is>
      </c>
      <c r="E41" s="9" t="inlineStr">
        <is>
          <t>M</t>
        </is>
      </c>
      <c r="F41" s="9" t="inlineStr">
        <is>
          <t>3</t>
        </is>
      </c>
      <c r="G41" s="9" t="inlineStr">
        <is>
          <t>4.4</t>
        </is>
      </c>
      <c r="H41" s="17" t="inlineStr">
        <is>
          <t>The driver's pool view and the database both show the membership.</t>
        </is>
      </c>
      <c r="I41" s="9" t="inlineStr">
        <is>
          <t>T</t>
        </is>
      </c>
      <c r="J41" s="17" t="inlineStr">
        <is>
          <t>TC-25</t>
        </is>
      </c>
      <c r="K41" s="17" t="inlineStr">
        <is>
          <t>T-06</t>
        </is>
      </c>
      <c r="L41" s="17" t="inlineStr">
        <is>
          <t>feature/db-schema</t>
        </is>
      </c>
      <c r="M41" s="15" t="inlineStr">
        <is>
          <t>Proposed</t>
        </is>
      </c>
      <c r="N41" s="16" t="inlineStr"/>
      <c r="O41" s="16" t="inlineStr"/>
      <c r="P41" s="4">
        <f>","&amp;SUBSTITUTE(F41," ","")&amp;","</f>
        <v/>
      </c>
    </row>
    <row r="42" ht="33" customHeight="1">
      <c r="A42" s="13" t="inlineStr">
        <is>
          <t>FR-FARE-01</t>
        </is>
      </c>
      <c r="B42" s="14" t="inlineStr">
        <is>
          <t>FR</t>
        </is>
      </c>
      <c r="C42" s="14" t="inlineStr">
        <is>
          <t>FARE</t>
        </is>
      </c>
      <c r="D42" s="13" t="inlineStr">
        <is>
          <t>The system shall calculate each passenger's fare with the formula in BR-10, using the zone distance table (BR-09).</t>
        </is>
      </c>
      <c r="E42" s="14" t="inlineStr">
        <is>
          <t>M</t>
        </is>
      </c>
      <c r="F42" s="14" t="inlineStr">
        <is>
          <t>5</t>
        </is>
      </c>
      <c r="G42" s="14" t="inlineStr">
        <is>
          <t>4.5</t>
        </is>
      </c>
      <c r="H42" s="13" t="inlineStr">
        <is>
          <t>The worked examples in §6.4 are reproduced exactly by unit tests.</t>
        </is>
      </c>
      <c r="I42" s="14" t="inlineStr">
        <is>
          <t>T</t>
        </is>
      </c>
      <c r="J42" s="13" t="inlineStr">
        <is>
          <t>TC-03, TC-12</t>
        </is>
      </c>
      <c r="K42" s="13" t="inlineStr">
        <is>
          <t>T-10</t>
        </is>
      </c>
      <c r="L42" s="13" t="inlineStr">
        <is>
          <t>feature/zones-fares</t>
        </is>
      </c>
      <c r="M42" s="15" t="inlineStr">
        <is>
          <t>Proposed</t>
        </is>
      </c>
      <c r="N42" s="16" t="inlineStr"/>
      <c r="O42" s="16" t="inlineStr"/>
      <c r="P42" s="4">
        <f>","&amp;SUBSTITUTE(F42," ","")&amp;","</f>
        <v/>
      </c>
    </row>
    <row r="43" ht="33" customHeight="1">
      <c r="A43" s="17" t="inlineStr">
        <is>
          <t>FR-FARE-02</t>
        </is>
      </c>
      <c r="B43" s="9" t="inlineStr">
        <is>
          <t>FR</t>
        </is>
      </c>
      <c r="C43" s="9" t="inlineStr">
        <is>
          <t>FARE</t>
        </is>
      </c>
      <c r="D43" s="17" t="inlineStr">
        <is>
          <t>At request time, the system shall store and show an estimate: the solo fare, plus the pooled fare if the passenger opted in.</t>
        </is>
      </c>
      <c r="E43" s="9" t="inlineStr">
        <is>
          <t>M</t>
        </is>
      </c>
      <c r="F43" s="9" t="inlineStr">
        <is>
          <t>5</t>
        </is>
      </c>
      <c r="G43" s="9" t="inlineStr">
        <is>
          <t>4.5</t>
        </is>
      </c>
      <c r="H43" s="17" t="inlineStr">
        <is>
          <t>The request record stores estimated_fare_paisa (solo). The response includes both figures.</t>
        </is>
      </c>
      <c r="I43" s="9" t="inlineStr">
        <is>
          <t>T</t>
        </is>
      </c>
      <c r="J43" s="17" t="inlineStr">
        <is>
          <t>TC-35</t>
        </is>
      </c>
      <c r="K43" s="17" t="inlineStr">
        <is>
          <t>T-11</t>
        </is>
      </c>
      <c r="L43" s="17" t="inlineStr">
        <is>
          <t>feature/zones-fares</t>
        </is>
      </c>
      <c r="M43" s="15" t="inlineStr">
        <is>
          <t>Proposed</t>
        </is>
      </c>
      <c r="N43" s="16" t="inlineStr"/>
      <c r="O43" s="16" t="inlineStr"/>
      <c r="P43" s="4">
        <f>","&amp;SUBSTITUTE(F43," ","")&amp;","</f>
        <v/>
      </c>
    </row>
    <row r="44" ht="48" customHeight="1">
      <c r="A44" s="13" t="inlineStr">
        <is>
          <t>FR-FARE-03</t>
        </is>
      </c>
      <c r="B44" s="14" t="inlineStr">
        <is>
          <t>FR</t>
        </is>
      </c>
      <c r="C44" s="14" t="inlineStr">
        <is>
          <t>FARE</t>
        </is>
      </c>
      <c r="D44" s="13" t="inlineStr">
        <is>
          <t>At trip start, the system shall lock each on-board member's final fare and store the rates used (base, per-km, discount rate, distance, seats, pooled flag).</t>
        </is>
      </c>
      <c r="E44" s="14" t="inlineStr">
        <is>
          <t>M</t>
        </is>
      </c>
      <c r="F44" s="14" t="inlineStr">
        <is>
          <t>2, 5</t>
        </is>
      </c>
      <c r="G44" s="14" t="inlineStr">
        <is>
          <t>4.5</t>
        </is>
      </c>
      <c r="H44" s="13" t="inlineStr">
        <is>
          <t>Changing the rate configuration afterwards does not change any locked fare.</t>
        </is>
      </c>
      <c r="I44" s="14" t="inlineStr">
        <is>
          <t>T</t>
        </is>
      </c>
      <c r="J44" s="13" t="inlineStr">
        <is>
          <t>TC-09, TC-11</t>
        </is>
      </c>
      <c r="K44" s="13" t="inlineStr">
        <is>
          <t>T-17</t>
        </is>
      </c>
      <c r="L44" s="13" t="inlineStr">
        <is>
          <t>feature/driver-flow</t>
        </is>
      </c>
      <c r="M44" s="15" t="inlineStr">
        <is>
          <t>Proposed</t>
        </is>
      </c>
      <c r="N44" s="16" t="inlineStr"/>
      <c r="O44" s="16" t="inlineStr"/>
      <c r="P44" s="4">
        <f>","&amp;SUBSTITUTE(F44," ","")&amp;","</f>
        <v/>
      </c>
    </row>
    <row r="45" ht="33" customHeight="1">
      <c r="A45" s="17" t="inlineStr">
        <is>
          <t>FR-FARE-04</t>
        </is>
      </c>
      <c r="B45" s="9" t="inlineStr">
        <is>
          <t>FR</t>
        </is>
      </c>
      <c r="C45" s="9" t="inlineStr">
        <is>
          <t>FARE</t>
        </is>
      </c>
      <c r="D45" s="17" t="inlineStr">
        <is>
          <t>The passenger and driver views shall show a fare breakdown: base, distance charge, pool discount, seats and total.</t>
        </is>
      </c>
      <c r="E45" s="9" t="inlineStr">
        <is>
          <t>M</t>
        </is>
      </c>
      <c r="F45" s="9" t="inlineStr">
        <is>
          <t>5</t>
        </is>
      </c>
      <c r="G45" s="9" t="inlineStr">
        <is>
          <t>4.5</t>
        </is>
      </c>
      <c r="H45" s="17" t="inlineStr">
        <is>
          <t>The numbers in the breakdown add up to the total shown.</t>
        </is>
      </c>
      <c r="I45" s="9" t="inlineStr">
        <is>
          <t>T, D</t>
        </is>
      </c>
      <c r="J45" s="17" t="inlineStr">
        <is>
          <t>TC-35</t>
        </is>
      </c>
      <c r="K45" s="17" t="inlineStr">
        <is>
          <t>T-11</t>
        </is>
      </c>
      <c r="L45" s="17" t="inlineStr">
        <is>
          <t>feature/zones-fares</t>
        </is>
      </c>
      <c r="M45" s="15" t="inlineStr">
        <is>
          <t>Proposed</t>
        </is>
      </c>
      <c r="N45" s="16" t="inlineStr"/>
      <c r="O45" s="16" t="inlineStr"/>
      <c r="P45" s="4">
        <f>","&amp;SUBSTITUTE(F45," ","")&amp;","</f>
        <v/>
      </c>
    </row>
    <row r="46" ht="33" customHeight="1">
      <c r="A46" s="13" t="inlineStr">
        <is>
          <t>FR-FARE-05</t>
        </is>
      </c>
      <c r="B46" s="14" t="inlineStr">
        <is>
          <t>FR</t>
        </is>
      </c>
      <c r="C46" s="14" t="inlineStr">
        <is>
          <t>FARE</t>
        </is>
      </c>
      <c r="D46" s="13" t="inlineStr">
        <is>
          <t>A cancellation fee (BR-07) shall be recorded as its own charge linked to the request.</t>
        </is>
      </c>
      <c r="E46" s="14" t="inlineStr">
        <is>
          <t>M</t>
        </is>
      </c>
      <c r="F46" s="14" t="inlineStr">
        <is>
          <t>5</t>
        </is>
      </c>
      <c r="G46" s="14" t="inlineStr">
        <is>
          <t>4.5</t>
        </is>
      </c>
      <c r="H46" s="13" t="inlineStr">
        <is>
          <t>Rafiq cancelling after arrival creates a 2000-paisa CANCELLATION_FEE charge.</t>
        </is>
      </c>
      <c r="I46" s="14" t="inlineStr">
        <is>
          <t>T</t>
        </is>
      </c>
      <c r="J46" s="13" t="inlineStr">
        <is>
          <t>TC-14</t>
        </is>
      </c>
      <c r="K46" s="13" t="inlineStr">
        <is>
          <t>T-13</t>
        </is>
      </c>
      <c r="L46" s="13" t="inlineStr">
        <is>
          <t>feature/ride-request</t>
        </is>
      </c>
      <c r="M46" s="15" t="inlineStr">
        <is>
          <t>Proposed</t>
        </is>
      </c>
      <c r="N46" s="16" t="inlineStr"/>
      <c r="O46" s="16" t="inlineStr"/>
      <c r="P46" s="4">
        <f>","&amp;SUBSTITUTE(F46," ","")&amp;","</f>
        <v/>
      </c>
    </row>
    <row r="47" ht="48" customHeight="1">
      <c r="A47" s="17" t="inlineStr">
        <is>
          <t>FR-FARE-06</t>
        </is>
      </c>
      <c r="B47" s="9" t="inlineStr">
        <is>
          <t>FR</t>
        </is>
      </c>
      <c r="C47" s="9" t="inlineStr">
        <is>
          <t>FARE</t>
        </is>
      </c>
      <c r="D47" s="17" t="inlineStr">
        <is>
          <t>All monetary values shall be stored and calculated as integer paisa. They are formatted as ৳ with two decimals only for display.</t>
        </is>
      </c>
      <c r="E47" s="9" t="inlineStr">
        <is>
          <t>M</t>
        </is>
      </c>
      <c r="F47" s="9" t="inlineStr">
        <is>
          <t>5</t>
        </is>
      </c>
      <c r="G47" s="9" t="inlineStr">
        <is>
          <t>4.5</t>
        </is>
      </c>
      <c r="H47" s="17" t="inlineStr">
        <is>
          <t>There are no floating-point money columns in the schema. 6600 is displayed as "৳66.00".</t>
        </is>
      </c>
      <c r="I47" s="9" t="inlineStr">
        <is>
          <t>T</t>
        </is>
      </c>
      <c r="J47" s="17" t="inlineStr">
        <is>
          <t>TC-45</t>
        </is>
      </c>
      <c r="K47" s="17" t="inlineStr">
        <is>
          <t>T-06</t>
        </is>
      </c>
      <c r="L47" s="17" t="inlineStr">
        <is>
          <t>feature/db-schema</t>
        </is>
      </c>
      <c r="M47" s="15" t="inlineStr">
        <is>
          <t>Proposed</t>
        </is>
      </c>
      <c r="N47" s="16" t="inlineStr"/>
      <c r="O47" s="16" t="inlineStr"/>
      <c r="P47" s="4">
        <f>","&amp;SUBSTITUTE(F47," ","")&amp;","</f>
        <v/>
      </c>
    </row>
    <row r="48" ht="33" customHeight="1">
      <c r="A48" s="13" t="inlineStr">
        <is>
          <t>FR-PAY-01</t>
        </is>
      </c>
      <c r="B48" s="14" t="inlineStr">
        <is>
          <t>FR</t>
        </is>
      </c>
      <c r="C48" s="14" t="inlineStr">
        <is>
          <t>PAY</t>
        </is>
      </c>
      <c r="D48" s="13" t="inlineStr">
        <is>
          <t>Every passenger shall have one TeslaPay wallet. The passenger can see its balance and transaction list.</t>
        </is>
      </c>
      <c r="E48" s="14" t="inlineStr">
        <is>
          <t>M</t>
        </is>
      </c>
      <c r="F48" s="14" t="inlineStr">
        <is>
          <t>5</t>
        </is>
      </c>
      <c r="G48" s="14" t="inlineStr">
        <is>
          <t>4.6</t>
        </is>
      </c>
      <c r="H48" s="13" t="inlineStr">
        <is>
          <t>Nusrat's seeded balance is visible, and her transactions are listed newest first.</t>
        </is>
      </c>
      <c r="I48" s="14" t="inlineStr">
        <is>
          <t>T</t>
        </is>
      </c>
      <c r="J48" s="13" t="inlineStr">
        <is>
          <t>TC-29</t>
        </is>
      </c>
      <c r="K48" s="13" t="inlineStr">
        <is>
          <t>T-18, T-21</t>
        </is>
      </c>
      <c r="L48" s="13" t="inlineStr">
        <is>
          <t>feature/teslapay-wallet, feature/passenger-ui</t>
        </is>
      </c>
      <c r="M48" s="15" t="inlineStr">
        <is>
          <t>Proposed</t>
        </is>
      </c>
      <c r="N48" s="16" t="inlineStr"/>
      <c r="O48" s="16" t="inlineStr"/>
      <c r="P48" s="4">
        <f>","&amp;SUBSTITUTE(F48," ","")&amp;","</f>
        <v/>
      </c>
    </row>
    <row r="49" ht="48" customHeight="1">
      <c r="A49" s="17" t="inlineStr">
        <is>
          <t>FR-PAY-02</t>
        </is>
      </c>
      <c r="B49" s="9" t="inlineStr">
        <is>
          <t>FR</t>
        </is>
      </c>
      <c r="C49" s="9" t="inlineStr">
        <is>
          <t>PAY</t>
        </is>
      </c>
      <c r="D49" s="17" t="inlineStr">
        <is>
          <t>The passenger shall be able to add simulated funds (top-up) of ৳50–৳5,000 per operation.</t>
        </is>
      </c>
      <c r="E49" s="9" t="inlineStr">
        <is>
          <t>S</t>
        </is>
      </c>
      <c r="F49" s="9" t="inlineStr">
        <is>
          <t>5</t>
        </is>
      </c>
      <c r="G49" s="9" t="inlineStr">
        <is>
          <t>4.6</t>
        </is>
      </c>
      <c r="H49" s="17" t="inlineStr">
        <is>
          <t>A top-up of ৳500 increases the balance by 50000 paisa and creates a TOPUP ledger entry. Out-of-range amounts return 400. The UI labels this clearly as simulated money.</t>
        </is>
      </c>
      <c r="I49" s="9" t="inlineStr">
        <is>
          <t>T</t>
        </is>
      </c>
      <c r="J49" s="17" t="inlineStr">
        <is>
          <t>TC-29</t>
        </is>
      </c>
      <c r="K49" s="17" t="inlineStr">
        <is>
          <t>T-18, T-21</t>
        </is>
      </c>
      <c r="L49" s="17" t="inlineStr">
        <is>
          <t>feature/teslapay-wallet, feature/passenger-ui</t>
        </is>
      </c>
      <c r="M49" s="15" t="inlineStr">
        <is>
          <t>Proposed</t>
        </is>
      </c>
      <c r="N49" s="16" t="inlineStr"/>
      <c r="O49" s="16" t="inlineStr"/>
      <c r="P49" s="4">
        <f>","&amp;SUBSTITUTE(F49," ","")&amp;","</f>
        <v/>
      </c>
    </row>
    <row r="50" ht="48" customHeight="1">
      <c r="A50" s="13" t="inlineStr">
        <is>
          <t>FR-PAY-03</t>
        </is>
      </c>
      <c r="B50" s="14" t="inlineStr">
        <is>
          <t>FR</t>
        </is>
      </c>
      <c r="C50" s="14" t="inlineStr">
        <is>
          <t>PAY</t>
        </is>
      </c>
      <c r="D50" s="13" t="inlineStr">
        <is>
          <t>For TESLAPAY rides, completing the member shall debit the locked fare from the wallet atomically and create a RIDE_PAYMENT ledger entry.</t>
        </is>
      </c>
      <c r="E50" s="14" t="inlineStr">
        <is>
          <t>M</t>
        </is>
      </c>
      <c r="F50" s="14" t="inlineStr">
        <is>
          <t>5</t>
        </is>
      </c>
      <c r="G50" s="14" t="inlineStr">
        <is>
          <t>4.6</t>
        </is>
      </c>
      <c r="H50" s="13" t="inlineStr">
        <is>
          <t>The balance goes down by exactly the locked fare. Payment status becomes PAID.</t>
        </is>
      </c>
      <c r="I50" s="14" t="inlineStr">
        <is>
          <t>T</t>
        </is>
      </c>
      <c r="J50" s="13" t="inlineStr">
        <is>
          <t>TC-26</t>
        </is>
      </c>
      <c r="K50" s="13" t="inlineStr">
        <is>
          <t>T-18</t>
        </is>
      </c>
      <c r="L50" s="13" t="inlineStr">
        <is>
          <t>feature/teslapay-wallet</t>
        </is>
      </c>
      <c r="M50" s="15" t="inlineStr">
        <is>
          <t>Proposed</t>
        </is>
      </c>
      <c r="N50" s="16" t="inlineStr"/>
      <c r="O50" s="16" t="inlineStr"/>
      <c r="P50" s="4">
        <f>","&amp;SUBSTITUTE(F50," ","")&amp;","</f>
        <v/>
      </c>
    </row>
    <row r="51" ht="48" customHeight="1">
      <c r="A51" s="17" t="inlineStr">
        <is>
          <t>FR-PAY-04</t>
        </is>
      </c>
      <c r="B51" s="9" t="inlineStr">
        <is>
          <t>FR</t>
        </is>
      </c>
      <c r="C51" s="9" t="inlineStr">
        <is>
          <t>PAY</t>
        </is>
      </c>
      <c r="D51" s="17" t="inlineStr">
        <is>
          <t>For CASH rides, completing the member shall set payment status to PENDING_CASH until the driver marks it collected (FR-DRV-10).</t>
        </is>
      </c>
      <c r="E51" s="9" t="inlineStr">
        <is>
          <t>M</t>
        </is>
      </c>
      <c r="F51" s="9" t="inlineStr">
        <is>
          <t>5</t>
        </is>
      </c>
      <c r="G51" s="9" t="inlineStr">
        <is>
          <t>4.6</t>
        </is>
      </c>
      <c r="H51" s="17" t="inlineStr">
        <is>
          <t>Rafiq's payment status shows "Cash due ৳60.00" and then "Paid (cash)".</t>
        </is>
      </c>
      <c r="I51" s="9" t="inlineStr">
        <is>
          <t>T</t>
        </is>
      </c>
      <c r="J51" s="17" t="inlineStr">
        <is>
          <t>TC-27</t>
        </is>
      </c>
      <c r="K51" s="17" t="inlineStr">
        <is>
          <t>T-18</t>
        </is>
      </c>
      <c r="L51" s="17" t="inlineStr">
        <is>
          <t>feature/teslapay-wallet</t>
        </is>
      </c>
      <c r="M51" s="15" t="inlineStr">
        <is>
          <t>Proposed</t>
        </is>
      </c>
      <c r="N51" s="16" t="inlineStr"/>
      <c r="O51" s="16" t="inlineStr"/>
      <c r="P51" s="4">
        <f>","&amp;SUBSTITUTE(F51," ","")&amp;","</f>
        <v/>
      </c>
    </row>
    <row r="52" ht="33" customHeight="1">
      <c r="A52" s="13" t="inlineStr">
        <is>
          <t>FR-PAY-05</t>
        </is>
      </c>
      <c r="B52" s="14" t="inlineStr">
        <is>
          <t>FR</t>
        </is>
      </c>
      <c r="C52" s="14" t="inlineStr">
        <is>
          <t>PAY</t>
        </is>
      </c>
      <c r="D52" s="13" t="inlineStr">
        <is>
          <t>A cancellation fee shall be debited from the wallet for TESLAPAY requests. For CASH requests it shall be recorded as UNPAID.</t>
        </is>
      </c>
      <c r="E52" s="14" t="inlineStr">
        <is>
          <t>S</t>
        </is>
      </c>
      <c r="F52" s="14" t="inlineStr">
        <is>
          <t>5</t>
        </is>
      </c>
      <c r="G52" s="14" t="inlineStr">
        <is>
          <t>4.6</t>
        </is>
      </c>
      <c r="H52" s="13" t="inlineStr">
        <is>
          <t>The wallet ledger or charge record reflects the fee. Collecting unpaid cash fees is out of scope (§13.4).</t>
        </is>
      </c>
      <c r="I52" s="14" t="inlineStr">
        <is>
          <t>T</t>
        </is>
      </c>
      <c r="J52" s="13" t="inlineStr">
        <is>
          <t>TC-14</t>
        </is>
      </c>
      <c r="K52" s="13" t="inlineStr">
        <is>
          <t>T-18</t>
        </is>
      </c>
      <c r="L52" s="13" t="inlineStr">
        <is>
          <t>feature/teslapay-wallet</t>
        </is>
      </c>
      <c r="M52" s="15" t="inlineStr">
        <is>
          <t>Proposed</t>
        </is>
      </c>
      <c r="N52" s="16" t="inlineStr"/>
      <c r="O52" s="16" t="inlineStr"/>
      <c r="P52" s="4">
        <f>","&amp;SUBSTITUTE(F52," ","")&amp;","</f>
        <v/>
      </c>
    </row>
    <row r="53" ht="33" customHeight="1">
      <c r="A53" s="17" t="inlineStr">
        <is>
          <t>FR-PAY-06</t>
        </is>
      </c>
      <c r="B53" s="9" t="inlineStr">
        <is>
          <t>FR</t>
        </is>
      </c>
      <c r="C53" s="9" t="inlineStr">
        <is>
          <t>PAY</t>
        </is>
      </c>
      <c r="D53" s="17" t="inlineStr">
        <is>
          <t>A wallet balance shall never go negative. Every balance change shall have exactly one ledger entry.</t>
        </is>
      </c>
      <c r="E53" s="9" t="inlineStr">
        <is>
          <t>M</t>
        </is>
      </c>
      <c r="F53" s="9" t="inlineStr">
        <is>
          <t>5, 6</t>
        </is>
      </c>
      <c r="G53" s="9" t="inlineStr">
        <is>
          <t>4.6</t>
        </is>
      </c>
      <c r="H53" s="17" t="inlineStr">
        <is>
          <t>A DB CHECK (balance ≥ 0) exists. The sum of ledger entries equals the balance for every seeded and test wallet.</t>
        </is>
      </c>
      <c r="I53" s="9" t="inlineStr">
        <is>
          <t>T</t>
        </is>
      </c>
      <c r="J53" s="17" t="inlineStr">
        <is>
          <t>TC-26</t>
        </is>
      </c>
      <c r="K53" s="17" t="inlineStr">
        <is>
          <t>T-06, T-18</t>
        </is>
      </c>
      <c r="L53" s="17" t="inlineStr">
        <is>
          <t>feature/db-schema, feature/teslapay-wallet</t>
        </is>
      </c>
      <c r="M53" s="15" t="inlineStr">
        <is>
          <t>Proposed</t>
        </is>
      </c>
      <c r="N53" s="16" t="inlineStr"/>
      <c r="O53" s="16" t="inlineStr"/>
      <c r="P53" s="4">
        <f>","&amp;SUBSTITUTE(F53," ","")&amp;","</f>
        <v/>
      </c>
    </row>
    <row r="54" ht="48" customHeight="1">
      <c r="A54" s="13" t="inlineStr">
        <is>
          <t>FR-HIST-01</t>
        </is>
      </c>
      <c r="B54" s="14" t="inlineStr">
        <is>
          <t>FR</t>
        </is>
      </c>
      <c r="C54" s="14" t="inlineStr">
        <is>
          <t>HIST</t>
        </is>
      </c>
      <c r="D54" s="13" t="inlineStr">
        <is>
          <t>Every status change of a ride request, pool or driver availability shall be recorded with entity, from-status, to-status, actor (user id and role, or SYSTEM), reason and timestamp.</t>
        </is>
      </c>
      <c r="E54" s="14" t="inlineStr">
        <is>
          <t>M</t>
        </is>
      </c>
      <c r="F54" s="14" t="inlineStr">
        <is>
          <t>2, 6</t>
        </is>
      </c>
      <c r="G54" s="14" t="inlineStr">
        <is>
          <t>4.7</t>
        </is>
      </c>
      <c r="H54" s="13" t="inlineStr">
        <is>
          <t>Each transition in §5 creates exactly one audit row, in the same transaction as the change.</t>
        </is>
      </c>
      <c r="I54" s="14" t="inlineStr">
        <is>
          <t>T</t>
        </is>
      </c>
      <c r="J54" s="13" t="inlineStr">
        <is>
          <t>TC-30</t>
        </is>
      </c>
      <c r="K54" s="13" t="inlineStr">
        <is>
          <t>T-12</t>
        </is>
      </c>
      <c r="L54" s="13" t="inlineStr">
        <is>
          <t>feature/ride-request</t>
        </is>
      </c>
      <c r="M54" s="15" t="inlineStr">
        <is>
          <t>Proposed</t>
        </is>
      </c>
      <c r="N54" s="16" t="inlineStr"/>
      <c r="O54" s="16" t="inlineStr"/>
      <c r="P54" s="4">
        <f>","&amp;SUBSTITUTE(F54," ","")&amp;","</f>
        <v/>
      </c>
    </row>
    <row r="55" ht="33" customHeight="1">
      <c r="A55" s="17" t="inlineStr">
        <is>
          <t>FR-HIST-02</t>
        </is>
      </c>
      <c r="B55" s="9" t="inlineStr">
        <is>
          <t>FR</t>
        </is>
      </c>
      <c r="C55" s="9" t="inlineStr">
        <is>
          <t>HIST</t>
        </is>
      </c>
      <c r="D55" s="17" t="inlineStr">
        <is>
          <t>Audit records shall be append-only. The application shall provide no update or delete path for them.</t>
        </is>
      </c>
      <c r="E55" s="9" t="inlineStr">
        <is>
          <t>M</t>
        </is>
      </c>
      <c r="F55" s="9" t="inlineStr">
        <is>
          <t>2</t>
        </is>
      </c>
      <c r="G55" s="9" t="inlineStr">
        <is>
          <t>4.7</t>
        </is>
      </c>
      <c r="H55" s="17" t="inlineStr">
        <is>
          <t>There is no endpoint or service method that modifies audit rows.</t>
        </is>
      </c>
      <c r="I55" s="9" t="inlineStr">
        <is>
          <t>I, T</t>
        </is>
      </c>
      <c r="J55" s="17" t="inlineStr">
        <is>
          <t>TC-30</t>
        </is>
      </c>
      <c r="K55" s="17" t="inlineStr">
        <is>
          <t>T-06, T-12</t>
        </is>
      </c>
      <c r="L55" s="17" t="inlineStr">
        <is>
          <t>feature/db-schema, feature/ride-request</t>
        </is>
      </c>
      <c r="M55" s="15" t="inlineStr">
        <is>
          <t>Proposed</t>
        </is>
      </c>
      <c r="N55" s="16" t="inlineStr"/>
      <c r="O55" s="16" t="inlineStr"/>
      <c r="P55" s="4">
        <f>","&amp;SUBSTITUTE(F55," ","")&amp;","</f>
        <v/>
      </c>
    </row>
    <row r="56" ht="33" customHeight="1">
      <c r="A56" s="13" t="inlineStr">
        <is>
          <t>FR-HIST-03</t>
        </is>
      </c>
      <c r="B56" s="14" t="inlineStr">
        <is>
          <t>FR</t>
        </is>
      </c>
      <c r="C56" s="14" t="inlineStr">
        <is>
          <t>HIST</t>
        </is>
      </c>
      <c r="D56" s="13" t="inlineStr">
        <is>
          <t>Rejected transition attempts shall be logged (in application logs, not the audit table) with the actor and the reason.</t>
        </is>
      </c>
      <c r="E56" s="14" t="inlineStr">
        <is>
          <t>S</t>
        </is>
      </c>
      <c r="F56" s="14" t="inlineStr">
        <is>
          <t>6</t>
        </is>
      </c>
      <c r="G56" s="14" t="inlineStr">
        <is>
          <t>4.7</t>
        </is>
      </c>
      <c r="H56" s="13" t="inlineStr">
        <is>
          <t>An invalid "start" call produces a WARN log entry with the request id.</t>
        </is>
      </c>
      <c r="I56" s="14" t="inlineStr">
        <is>
          <t>T</t>
        </is>
      </c>
      <c r="J56" s="13" t="inlineStr">
        <is>
          <t>TC-39</t>
        </is>
      </c>
      <c r="K56" s="13" t="inlineStr">
        <is>
          <t>T-12</t>
        </is>
      </c>
      <c r="L56" s="13" t="inlineStr">
        <is>
          <t>feature/ride-request</t>
        </is>
      </c>
      <c r="M56" s="15" t="inlineStr">
        <is>
          <t>Proposed</t>
        </is>
      </c>
      <c r="N56" s="16" t="inlineStr"/>
      <c r="O56" s="16" t="inlineStr"/>
      <c r="P56" s="4">
        <f>","&amp;SUBSTITUTE(F56," ","")&amp;","</f>
        <v/>
      </c>
    </row>
    <row r="57" ht="48" customHeight="1">
      <c r="A57" s="17" t="inlineStr">
        <is>
          <t>FR-HIST-04</t>
        </is>
      </c>
      <c r="B57" s="9" t="inlineStr">
        <is>
          <t>FR</t>
        </is>
      </c>
      <c r="C57" s="9" t="inlineStr">
        <is>
          <t>HIST</t>
        </is>
      </c>
      <c r="D57" s="17" t="inlineStr">
        <is>
          <t>A completed or cancelled ride shall keep enough data to explain later who rode, in which Tesla, with how many seats, when each status changed, what was charged and why, and how it was paid.</t>
        </is>
      </c>
      <c r="E57" s="9" t="inlineStr">
        <is>
          <t>M</t>
        </is>
      </c>
      <c r="F57" s="9" t="inlineStr">
        <is>
          <t>2</t>
        </is>
      </c>
      <c r="G57" s="9" t="inlineStr">
        <is>
          <t>4.7</t>
        </is>
      </c>
      <c r="H57" s="17" t="inlineStr">
        <is>
          <t>An operator can reconstruct the complete Nusrat and Rafiq ride (scenario E1) from database records alone.</t>
        </is>
      </c>
      <c r="I57" s="9" t="inlineStr">
        <is>
          <t>T</t>
        </is>
      </c>
      <c r="J57" s="17" t="inlineStr">
        <is>
          <t>TC-30</t>
        </is>
      </c>
      <c r="K57" s="17" t="inlineStr">
        <is>
          <t>T-13</t>
        </is>
      </c>
      <c r="L57" s="17" t="inlineStr">
        <is>
          <t>feature/ride-request</t>
        </is>
      </c>
      <c r="M57" s="15" t="inlineStr">
        <is>
          <t>Proposed</t>
        </is>
      </c>
      <c r="N57" s="16" t="inlineStr"/>
      <c r="O57" s="16" t="inlineStr"/>
      <c r="P57" s="4">
        <f>","&amp;SUBSTITUTE(F57," ","")&amp;","</f>
        <v/>
      </c>
    </row>
    <row r="58" ht="48" customHeight="1">
      <c r="A58" s="13" t="inlineStr">
        <is>
          <t>BR-01</t>
        </is>
      </c>
      <c r="B58" s="14" t="inlineStr">
        <is>
          <t>BR</t>
        </is>
      </c>
      <c r="C58" s="14" t="inlineStr">
        <is>
          <t>RULES</t>
        </is>
      </c>
      <c r="D58" s="13" t="inlineStr">
        <is>
          <t>Capacity. A request may be accepted into a pool only if occupied_seats + request.seats ≤ vehicle.capacity. The database enforces this as well (NFR-CON-01).</t>
        </is>
      </c>
      <c r="E58" s="14" t="inlineStr">
        <is>
          <t>M</t>
        </is>
      </c>
      <c r="F58" s="14" t="inlineStr">
        <is>
          <t>3, 12</t>
        </is>
      </c>
      <c r="G58" s="14" t="inlineStr">
        <is>
          <t>6.1</t>
        </is>
      </c>
      <c r="H58" s="13" t="inlineStr">
        <is>
          <t>Verified by the linked test cases (see SRS §6).</t>
        </is>
      </c>
      <c r="I58" s="14" t="inlineStr">
        <is>
          <t>T</t>
        </is>
      </c>
      <c r="J58" s="13" t="inlineStr">
        <is>
          <t>TC-01</t>
        </is>
      </c>
      <c r="K58" s="13" t="inlineStr">
        <is>
          <t>T-15</t>
        </is>
      </c>
      <c r="L58" s="13" t="inlineStr">
        <is>
          <t>feature/tesla-pooling</t>
        </is>
      </c>
      <c r="M58" s="15" t="inlineStr">
        <is>
          <t>Proposed</t>
        </is>
      </c>
      <c r="N58" s="16" t="inlineStr"/>
      <c r="O58" s="16" t="inlineStr"/>
      <c r="P58" s="4">
        <f>","&amp;SUBSTITUTE(F58," ","")&amp;","</f>
        <v/>
      </c>
    </row>
    <row r="59" ht="108" customHeight="1">
      <c r="A59" s="17" t="inlineStr">
        <is>
          <t>BR-02</t>
        </is>
      </c>
      <c r="B59" s="9" t="inlineStr">
        <is>
          <t>BR</t>
        </is>
      </c>
      <c r="C59" s="9" t="inlineStr">
        <is>
          <t>RULES</t>
        </is>
      </c>
      <c r="D59" s="17"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t>
        </is>
      </c>
      <c r="E59" s="9" t="inlineStr">
        <is>
          <t>M</t>
        </is>
      </c>
      <c r="F59" s="9" t="inlineStr">
        <is>
          <t>4</t>
        </is>
      </c>
      <c r="G59" s="9" t="inlineStr">
        <is>
          <t>6.1</t>
        </is>
      </c>
      <c r="H59" s="17" t="inlineStr">
        <is>
          <t>Verified by the linked test cases (see SRS §6).</t>
        </is>
      </c>
      <c r="I59" s="9" t="inlineStr">
        <is>
          <t>T</t>
        </is>
      </c>
      <c r="J59" s="17" t="inlineStr">
        <is>
          <t>TC-20</t>
        </is>
      </c>
      <c r="K59" s="17" t="inlineStr">
        <is>
          <t>T-15</t>
        </is>
      </c>
      <c r="L59" s="17" t="inlineStr">
        <is>
          <t>feature/tesla-pooling</t>
        </is>
      </c>
      <c r="M59" s="15" t="inlineStr">
        <is>
          <t>Proposed</t>
        </is>
      </c>
      <c r="N59" s="16" t="inlineStr"/>
      <c r="O59" s="16" t="inlineStr"/>
      <c r="P59" s="4">
        <f>","&amp;SUBSTITUTE(F59," ","")&amp;","</f>
        <v/>
      </c>
    </row>
    <row r="60" ht="48" customHeight="1">
      <c r="A60" s="13" t="inlineStr">
        <is>
          <t>BR-03</t>
        </is>
      </c>
      <c r="B60" s="14" t="inlineStr">
        <is>
          <t>BR</t>
        </is>
      </c>
      <c r="C60" s="14" t="inlineStr">
        <is>
          <t>RULES</t>
        </is>
      </c>
      <c r="D60" s="13" t="inlineStr">
        <is>
          <t>Solo pools. The first request accepted by a driver always creates a new pool, provided its seats ≤ capacity. If that request did not opt in to pooling, the pool is private (FR-POOL-04).</t>
        </is>
      </c>
      <c r="E60" s="14" t="inlineStr">
        <is>
          <t>M</t>
        </is>
      </c>
      <c r="F60" s="14" t="inlineStr">
        <is>
          <t>3</t>
        </is>
      </c>
      <c r="G60" s="14" t="inlineStr">
        <is>
          <t>6.1</t>
        </is>
      </c>
      <c r="H60" s="13" t="inlineStr">
        <is>
          <t>Verified by the linked test cases (see SRS §6).</t>
        </is>
      </c>
      <c r="I60" s="14" t="inlineStr">
        <is>
          <t>T</t>
        </is>
      </c>
      <c r="J60" s="13" t="inlineStr">
        <is>
          <t>TC-20</t>
        </is>
      </c>
      <c r="K60" s="13" t="inlineStr">
        <is>
          <t>T-15</t>
        </is>
      </c>
      <c r="L60" s="13" t="inlineStr">
        <is>
          <t>feature/tesla-pooling</t>
        </is>
      </c>
      <c r="M60" s="15" t="inlineStr">
        <is>
          <t>Proposed</t>
        </is>
      </c>
      <c r="N60" s="16" t="inlineStr"/>
      <c r="O60" s="16" t="inlineStr"/>
      <c r="P60" s="4">
        <f>","&amp;SUBSTITUTE(F60," ","")&amp;","</f>
        <v/>
      </c>
    </row>
    <row r="61" ht="33" customHeight="1">
      <c r="A61" s="17" t="inlineStr">
        <is>
          <t>BR-04</t>
        </is>
      </c>
      <c r="B61" s="9" t="inlineStr">
        <is>
          <t>BR</t>
        </is>
      </c>
      <c r="C61" s="9" t="inlineStr">
        <is>
          <t>RULES</t>
        </is>
      </c>
      <c r="D61" s="17" t="inlineStr">
        <is>
          <t>One active pool per driver. A driver may have at most one active pool.</t>
        </is>
      </c>
      <c r="E61" s="9" t="inlineStr">
        <is>
          <t>M</t>
        </is>
      </c>
      <c r="F61" s="9" t="inlineStr">
        <is>
          <t>3</t>
        </is>
      </c>
      <c r="G61" s="9" t="inlineStr">
        <is>
          <t>6.1</t>
        </is>
      </c>
      <c r="H61" s="17" t="inlineStr">
        <is>
          <t>Verified by the linked test cases (see SRS §6).</t>
        </is>
      </c>
      <c r="I61" s="9" t="inlineStr">
        <is>
          <t>T</t>
        </is>
      </c>
      <c r="J61" s="17" t="inlineStr">
        <is>
          <t>TC-19</t>
        </is>
      </c>
      <c r="K61" s="17" t="inlineStr">
        <is>
          <t>T-15</t>
        </is>
      </c>
      <c r="L61" s="17" t="inlineStr">
        <is>
          <t>feature/tesla-pooling</t>
        </is>
      </c>
      <c r="M61" s="15" t="inlineStr">
        <is>
          <t>Proposed</t>
        </is>
      </c>
      <c r="N61" s="16" t="inlineStr"/>
      <c r="O61" s="16" t="inlineStr"/>
      <c r="P61" s="4">
        <f>","&amp;SUBSTITUTE(F61," ","")&amp;","</f>
        <v/>
      </c>
    </row>
    <row r="62" ht="33" customHeight="1">
      <c r="A62" s="13" t="inlineStr">
        <is>
          <t>BR-05</t>
        </is>
      </c>
      <c r="B62" s="14" t="inlineStr">
        <is>
          <t>BR</t>
        </is>
      </c>
      <c r="C62" s="14" t="inlineStr">
        <is>
          <t>RULES</t>
        </is>
      </c>
      <c r="D62" s="13" t="inlineStr">
        <is>
          <t>One active request per passenger. A passenger may have at most one active request.</t>
        </is>
      </c>
      <c r="E62" s="14" t="inlineStr">
        <is>
          <t>M</t>
        </is>
      </c>
      <c r="F62" s="14" t="inlineStr">
        <is>
          <t>3</t>
        </is>
      </c>
      <c r="G62" s="14" t="inlineStr">
        <is>
          <t>6.1</t>
        </is>
      </c>
      <c r="H62" s="13" t="inlineStr">
        <is>
          <t>Verified by the linked test cases (see SRS §6).</t>
        </is>
      </c>
      <c r="I62" s="14" t="inlineStr">
        <is>
          <t>T</t>
        </is>
      </c>
      <c r="J62" s="13" t="inlineStr">
        <is>
          <t>TC-18</t>
        </is>
      </c>
      <c r="K62" s="13" t="inlineStr">
        <is>
          <t>T-13</t>
        </is>
      </c>
      <c r="L62" s="13" t="inlineStr">
        <is>
          <t>feature/ride-request</t>
        </is>
      </c>
      <c r="M62" s="15" t="inlineStr">
        <is>
          <t>Proposed</t>
        </is>
      </c>
      <c r="N62" s="16" t="inlineStr"/>
      <c r="O62" s="16" t="inlineStr"/>
      <c r="P62" s="4">
        <f>","&amp;SUBSTITUTE(F62," ","")&amp;","</f>
        <v/>
      </c>
    </row>
    <row r="63" ht="48" customHeight="1">
      <c r="A63" s="17" t="inlineStr">
        <is>
          <t>BR-06</t>
        </is>
      </c>
      <c r="B63" s="9" t="inlineStr">
        <is>
          <t>BR</t>
        </is>
      </c>
      <c r="C63" s="9" t="inlineStr">
        <is>
          <t>RULES</t>
        </is>
      </c>
      <c r="D63" s="17" t="inlineStr">
        <is>
          <t>Closed state machines. Only the transitions in §5 are allowed, and only by the listed actor. All others are rejected without side effects.</t>
        </is>
      </c>
      <c r="E63" s="9" t="inlineStr">
        <is>
          <t>M</t>
        </is>
      </c>
      <c r="F63" s="9" t="inlineStr">
        <is>
          <t>3, 12</t>
        </is>
      </c>
      <c r="G63" s="9" t="inlineStr">
        <is>
          <t>6.1</t>
        </is>
      </c>
      <c r="H63" s="17" t="inlineStr">
        <is>
          <t>Verified by the linked test cases (see SRS §6).</t>
        </is>
      </c>
      <c r="I63" s="9" t="inlineStr">
        <is>
          <t>T</t>
        </is>
      </c>
      <c r="J63" s="17" t="inlineStr">
        <is>
          <t>TC-02, TC-08</t>
        </is>
      </c>
      <c r="K63" s="17" t="inlineStr">
        <is>
          <t>T-12</t>
        </is>
      </c>
      <c r="L63" s="17" t="inlineStr">
        <is>
          <t>feature/ride-request</t>
        </is>
      </c>
      <c r="M63" s="15" t="inlineStr">
        <is>
          <t>Proposed</t>
        </is>
      </c>
      <c r="N63" s="16" t="inlineStr"/>
      <c r="O63" s="16" t="inlineStr"/>
      <c r="P63" s="4">
        <f>","&amp;SUBSTITUTE(F63," ","")&amp;","</f>
        <v/>
      </c>
    </row>
    <row r="64" ht="78" customHeight="1">
      <c r="A64" s="13" t="inlineStr">
        <is>
          <t>BR-08</t>
        </is>
      </c>
      <c r="B64" s="14" t="inlineStr">
        <is>
          <t>BR</t>
        </is>
      </c>
      <c r="C64" s="14" t="inlineStr">
        <is>
          <t>RULES</t>
        </is>
      </c>
      <c r="D64" s="13"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4" s="14" t="inlineStr">
        <is>
          <t>M</t>
        </is>
      </c>
      <c r="F64" s="14" t="inlineStr">
        <is>
          <t>4</t>
        </is>
      </c>
      <c r="G64" s="14" t="inlineStr">
        <is>
          <t>6.1</t>
        </is>
      </c>
      <c r="H64" s="13" t="inlineStr">
        <is>
          <t>Verified by the linked test cases (see SRS §6).</t>
        </is>
      </c>
      <c r="I64" s="14" t="inlineStr">
        <is>
          <t>I, T</t>
        </is>
      </c>
      <c r="J64" s="13" t="inlineStr">
        <is>
          <t>TC-20, TC-37</t>
        </is>
      </c>
      <c r="K64" s="13" t="inlineStr">
        <is>
          <t>T-07</t>
        </is>
      </c>
      <c r="L64" s="13" t="inlineStr">
        <is>
          <t>feature/db-schema</t>
        </is>
      </c>
      <c r="M64" s="15" t="inlineStr">
        <is>
          <t>Proposed</t>
        </is>
      </c>
      <c r="N64" s="16" t="inlineStr"/>
      <c r="O64" s="16" t="inlineStr"/>
      <c r="P64" s="4">
        <f>","&amp;SUBSTITUTE(F64," ","")&amp;","</f>
        <v/>
      </c>
    </row>
    <row r="65" ht="108" customHeight="1">
      <c r="A65" s="17" t="inlineStr">
        <is>
          <t>BR-07</t>
        </is>
      </c>
      <c r="B65" s="9" t="inlineStr">
        <is>
          <t>BR</t>
        </is>
      </c>
      <c r="C65" s="9" t="inlineStr">
        <is>
          <t>RULES</t>
        </is>
      </c>
      <c r="D65" s="17"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5" s="9" t="inlineStr">
        <is>
          <t>M</t>
        </is>
      </c>
      <c r="F65" s="9" t="inlineStr">
        <is>
          <t>3, 12</t>
        </is>
      </c>
      <c r="G65" s="9" t="inlineStr">
        <is>
          <t>6.2</t>
        </is>
      </c>
      <c r="H65" s="17" t="inlineStr">
        <is>
          <t>Verified by the linked test cases (see SRS §6).</t>
        </is>
      </c>
      <c r="I65" s="9" t="inlineStr">
        <is>
          <t>T</t>
        </is>
      </c>
      <c r="J65" s="17" t="inlineStr">
        <is>
          <t>TC-05, TC-15</t>
        </is>
      </c>
      <c r="K65" s="17" t="inlineStr">
        <is>
          <t>T-13</t>
        </is>
      </c>
      <c r="L65" s="17" t="inlineStr">
        <is>
          <t>feature/ride-request</t>
        </is>
      </c>
      <c r="M65" s="15" t="inlineStr">
        <is>
          <t>Proposed</t>
        </is>
      </c>
      <c r="N65" s="16" t="inlineStr"/>
      <c r="O65" s="16" t="inlineStr"/>
      <c r="P65" s="4">
        <f>","&amp;SUBSTITUTE(F65," ","")&amp;","</f>
        <v/>
      </c>
    </row>
    <row r="66" ht="63" customHeight="1">
      <c r="A66" s="13" t="inlineStr">
        <is>
          <t>BR-09</t>
        </is>
      </c>
      <c r="B66" s="14" t="inlineStr">
        <is>
          <t>BR</t>
        </is>
      </c>
      <c r="C66" s="14" t="inlineStr">
        <is>
          <t>RULES</t>
        </is>
      </c>
      <c r="D66" s="13" t="inlineStr">
        <is>
          <t>Distance. distance_m is the zone-to-zone table value for the request's pickup and destination (e.g. Banani→Mohakhali = 3000 m). Each passenger is charged for their own pickup→destination distance, not for any detour.</t>
        </is>
      </c>
      <c r="E66" s="14" t="inlineStr">
        <is>
          <t>M</t>
        </is>
      </c>
      <c r="F66" s="14" t="inlineStr">
        <is>
          <t>4, 5</t>
        </is>
      </c>
      <c r="G66" s="14" t="inlineStr">
        <is>
          <t>6.3</t>
        </is>
      </c>
      <c r="H66" s="13" t="inlineStr">
        <is>
          <t>Verified by the linked test cases (see SRS §6).</t>
        </is>
      </c>
      <c r="I66" s="14" t="inlineStr">
        <is>
          <t>T</t>
        </is>
      </c>
      <c r="J66" s="13" t="inlineStr">
        <is>
          <t>TC-03, TC-12</t>
        </is>
      </c>
      <c r="K66" s="13" t="inlineStr">
        <is>
          <t>T-10</t>
        </is>
      </c>
      <c r="L66" s="13" t="inlineStr">
        <is>
          <t>feature/zones-fares</t>
        </is>
      </c>
      <c r="M66" s="15" t="inlineStr">
        <is>
          <t>Proposed</t>
        </is>
      </c>
      <c r="N66" s="16" t="inlineStr"/>
      <c r="O66" s="16" t="inlineStr"/>
      <c r="P66" s="4">
        <f>","&amp;SUBSTITUTE(F66," ","")&amp;","</f>
        <v/>
      </c>
    </row>
    <row r="67" ht="78" customHeight="1">
      <c r="A67" s="17" t="inlineStr">
        <is>
          <t>BR-10</t>
        </is>
      </c>
      <c r="B67" s="9" t="inlineStr">
        <is>
          <t>BR</t>
        </is>
      </c>
      <c r="C67" s="9" t="inlineStr">
        <is>
          <t>RULES</t>
        </is>
      </c>
      <c r="D67" s="17" t="inlineStr">
        <is>
          <t>Formula (per seat). distanceCharge = roundHalfUp(distance_m × PER_KM_PAISA / 1000); poolDiscount = pooled ? roundHalfUp(distanceCharge × POOL_DISCOUNT_BPS / 10000) : 0; farePerSeat = BASE_FARE_PAISA + distanceCharge − poolDiscount; passengerFare = farePerSeat × seats.</t>
        </is>
      </c>
      <c r="E67" s="9" t="inlineStr">
        <is>
          <t>M</t>
        </is>
      </c>
      <c r="F67" s="9" t="inlineStr">
        <is>
          <t>5</t>
        </is>
      </c>
      <c r="G67" s="9" t="inlineStr">
        <is>
          <t>6.3</t>
        </is>
      </c>
      <c r="H67" s="17" t="inlineStr">
        <is>
          <t>Verified by the linked test cases (see SRS §6).</t>
        </is>
      </c>
      <c r="I67" s="9" t="inlineStr">
        <is>
          <t>T</t>
        </is>
      </c>
      <c r="J67" s="17" t="inlineStr">
        <is>
          <t>TC-03, TC-10, TC-12</t>
        </is>
      </c>
      <c r="K67" s="17" t="inlineStr">
        <is>
          <t>T-10</t>
        </is>
      </c>
      <c r="L67" s="17" t="inlineStr">
        <is>
          <t>feature/zones-fares</t>
        </is>
      </c>
      <c r="M67" s="15" t="inlineStr">
        <is>
          <t>Proposed</t>
        </is>
      </c>
      <c r="N67" s="16" t="inlineStr"/>
      <c r="O67" s="16" t="inlineStr"/>
      <c r="P67" s="4">
        <f>","&amp;SUBSTITUTE(F67," ","")&amp;","</f>
        <v/>
      </c>
    </row>
    <row r="68" ht="63" customHeight="1">
      <c r="A68" s="13" t="inlineStr">
        <is>
          <t>BR-11</t>
        </is>
      </c>
      <c r="B68" s="14" t="inlineStr">
        <is>
          <t>BR</t>
        </is>
      </c>
      <c r="C68" s="14" t="inlineStr">
        <is>
          <t>RULES</t>
        </is>
      </c>
      <c r="D68" s="13" t="inlineStr">
        <is>
          <t>Rates (MVP defaults, configurable). BASE_FARE_PAISA = 3000 (৳30), PER_KM_PAISA = 1500 (৳15/km), POOL_DISCOUNT_BPS = 2000 (20 % of the distance charge), CANCELLATION_FEE_PAISA = 2000 (৳20). The base fare is never discounted.</t>
        </is>
      </c>
      <c r="E68" s="14" t="inlineStr">
        <is>
          <t>M</t>
        </is>
      </c>
      <c r="F68" s="14" t="inlineStr">
        <is>
          <t>5</t>
        </is>
      </c>
      <c r="G68" s="14" t="inlineStr">
        <is>
          <t>6.3</t>
        </is>
      </c>
      <c r="H68" s="13" t="inlineStr">
        <is>
          <t>Verified by the linked test cases (see SRS §6).</t>
        </is>
      </c>
      <c r="I68" s="14" t="inlineStr">
        <is>
          <t>T</t>
        </is>
      </c>
      <c r="J68" s="13" t="inlineStr">
        <is>
          <t>TC-03</t>
        </is>
      </c>
      <c r="K68" s="13" t="inlineStr">
        <is>
          <t>T-10</t>
        </is>
      </c>
      <c r="L68" s="13" t="inlineStr">
        <is>
          <t>feature/zones-fares</t>
        </is>
      </c>
      <c r="M68" s="15" t="inlineStr">
        <is>
          <t>Proposed</t>
        </is>
      </c>
      <c r="N68" s="16" t="inlineStr"/>
      <c r="O68" s="16" t="inlineStr"/>
      <c r="P68" s="4">
        <f>","&amp;SUBSTITUTE(F68," ","")&amp;","</f>
        <v/>
      </c>
    </row>
    <row r="69" ht="78" customHeight="1">
      <c r="A69" s="17" t="inlineStr">
        <is>
          <t>BR-12</t>
        </is>
      </c>
      <c r="B69" s="9" t="inlineStr">
        <is>
          <t>BR</t>
        </is>
      </c>
      <c r="C69" s="9" t="inlineStr">
        <is>
          <t>RULES</t>
        </is>
      </c>
      <c r="D69" s="17"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69" s="9" t="inlineStr">
        <is>
          <t>M</t>
        </is>
      </c>
      <c r="F69" s="9" t="inlineStr">
        <is>
          <t>5</t>
        </is>
      </c>
      <c r="G69" s="9" t="inlineStr">
        <is>
          <t>6.3</t>
        </is>
      </c>
      <c r="H69" s="17" t="inlineStr">
        <is>
          <t>Verified by the linked test cases (see SRS §6).</t>
        </is>
      </c>
      <c r="I69" s="9" t="inlineStr">
        <is>
          <t>T</t>
        </is>
      </c>
      <c r="J69" s="17" t="inlineStr">
        <is>
          <t>TC-09, TC-10</t>
        </is>
      </c>
      <c r="K69" s="17" t="inlineStr">
        <is>
          <t>T-10</t>
        </is>
      </c>
      <c r="L69" s="17" t="inlineStr">
        <is>
          <t>feature/zones-fares</t>
        </is>
      </c>
      <c r="M69" s="15" t="inlineStr">
        <is>
          <t>Proposed</t>
        </is>
      </c>
      <c r="N69" s="16" t="inlineStr"/>
      <c r="O69" s="16" t="inlineStr"/>
      <c r="P69" s="4">
        <f>","&amp;SUBSTITUTE(F69," ","")&amp;","</f>
        <v/>
      </c>
    </row>
    <row r="70" ht="48" customHeight="1">
      <c r="A70" s="13" t="inlineStr">
        <is>
          <t>BR-13</t>
        </is>
      </c>
      <c r="B70" s="14" t="inlineStr">
        <is>
          <t>BR</t>
        </is>
      </c>
      <c r="C70" s="14" t="inlineStr">
        <is>
          <t>RULES</t>
        </is>
      </c>
      <c r="D70" s="13" t="inlineStr">
        <is>
          <t>Rounding. Half-up to a whole paisa, applied only where BR-10 says. With the default rates and whole-100 m distances, every result is exact.</t>
        </is>
      </c>
      <c r="E70" s="14" t="inlineStr">
        <is>
          <t>M</t>
        </is>
      </c>
      <c r="F70" s="14" t="inlineStr">
        <is>
          <t>5</t>
        </is>
      </c>
      <c r="G70" s="14" t="inlineStr">
        <is>
          <t>6.3</t>
        </is>
      </c>
      <c r="H70" s="13" t="inlineStr">
        <is>
          <t>Verified by the linked test cases (see SRS §6).</t>
        </is>
      </c>
      <c r="I70" s="14" t="inlineStr">
        <is>
          <t>T</t>
        </is>
      </c>
      <c r="J70" s="13" t="inlineStr">
        <is>
          <t>TC-03</t>
        </is>
      </c>
      <c r="K70" s="13" t="inlineStr">
        <is>
          <t>T-10</t>
        </is>
      </c>
      <c r="L70" s="13" t="inlineStr">
        <is>
          <t>feature/zones-fares</t>
        </is>
      </c>
      <c r="M70" s="15" t="inlineStr">
        <is>
          <t>Proposed</t>
        </is>
      </c>
      <c r="N70" s="16" t="inlineStr"/>
      <c r="O70" s="16" t="inlineStr"/>
      <c r="P70" s="4">
        <f>","&amp;SUBSTITUTE(F70," ","")&amp;","</f>
        <v/>
      </c>
    </row>
    <row r="71" ht="33" customHeight="1">
      <c r="A71" s="17" t="inlineStr">
        <is>
          <t>BR-14</t>
        </is>
      </c>
      <c r="B71" s="9" t="inlineStr">
        <is>
          <t>BR</t>
        </is>
      </c>
      <c r="C71" s="9" t="inlineStr">
        <is>
          <t>RULES</t>
        </is>
      </c>
      <c r="D71" s="17" t="inlineStr">
        <is>
          <t>Money storage. Integer paisa in 64-bit integer columns. There is no floating point anywhere in money logic (D-05).</t>
        </is>
      </c>
      <c r="E71" s="9" t="inlineStr">
        <is>
          <t>M</t>
        </is>
      </c>
      <c r="F71" s="9" t="inlineStr">
        <is>
          <t>5</t>
        </is>
      </c>
      <c r="G71" s="9" t="inlineStr">
        <is>
          <t>6.3</t>
        </is>
      </c>
      <c r="H71" s="17" t="inlineStr">
        <is>
          <t>Verified by the linked test cases (see SRS §6).</t>
        </is>
      </c>
      <c r="I71" s="9" t="inlineStr">
        <is>
          <t>I, T</t>
        </is>
      </c>
      <c r="J71" s="17" t="inlineStr">
        <is>
          <t>TC-45</t>
        </is>
      </c>
      <c r="K71" s="17" t="inlineStr">
        <is>
          <t>T-06</t>
        </is>
      </c>
      <c r="L71" s="17" t="inlineStr">
        <is>
          <t>feature/db-schema</t>
        </is>
      </c>
      <c r="M71" s="15" t="inlineStr">
        <is>
          <t>Proposed</t>
        </is>
      </c>
      <c r="N71" s="16" t="inlineStr"/>
      <c r="O71" s="16" t="inlineStr"/>
      <c r="P71" s="4">
        <f>","&amp;SUBSTITUTE(F71," ","")&amp;","</f>
        <v/>
      </c>
    </row>
    <row r="72" ht="63" customHeight="1">
      <c r="A72" s="13" t="inlineStr">
        <is>
          <t>BR-15</t>
        </is>
      </c>
      <c r="B72" s="14" t="inlineStr">
        <is>
          <t>BR</t>
        </is>
      </c>
      <c r="C72" s="14" t="inlineStr">
        <is>
          <t>RULES</t>
        </is>
      </c>
      <c r="D72" s="13" t="inlineStr">
        <is>
          <t>TeslaPay settlement. When a member is completed, the locked fare is debited in the same transaction as the COMPLETED transition. If the balance is insufficient at that moment (A-14), the payment status becomes PENDING_CASH and the driver collects cash.</t>
        </is>
      </c>
      <c r="E72" s="14" t="inlineStr">
        <is>
          <t>M</t>
        </is>
      </c>
      <c r="F72" s="14" t="inlineStr">
        <is>
          <t>5</t>
        </is>
      </c>
      <c r="G72" s="14" t="inlineStr">
        <is>
          <t>6.5</t>
        </is>
      </c>
      <c r="H72" s="13" t="inlineStr">
        <is>
          <t>Verified by the linked test cases (see SRS §6).</t>
        </is>
      </c>
      <c r="I72" s="14" t="inlineStr">
        <is>
          <t>T</t>
        </is>
      </c>
      <c r="J72" s="13" t="inlineStr">
        <is>
          <t>TC-26</t>
        </is>
      </c>
      <c r="K72" s="13" t="inlineStr">
        <is>
          <t>T-18</t>
        </is>
      </c>
      <c r="L72" s="13" t="inlineStr">
        <is>
          <t>feature/teslapay-wallet</t>
        </is>
      </c>
      <c r="M72" s="15" t="inlineStr">
        <is>
          <t>Proposed</t>
        </is>
      </c>
      <c r="N72" s="16" t="inlineStr"/>
      <c r="O72" s="16" t="inlineStr"/>
      <c r="P72" s="4">
        <f>","&amp;SUBSTITUTE(F72," ","")&amp;","</f>
        <v/>
      </c>
    </row>
    <row r="73" ht="33" customHeight="1">
      <c r="A73" s="17" t="inlineStr">
        <is>
          <t>BR-16</t>
        </is>
      </c>
      <c r="B73" s="9" t="inlineStr">
        <is>
          <t>BR</t>
        </is>
      </c>
      <c r="C73" s="9" t="inlineStr">
        <is>
          <t>RULES</t>
        </is>
      </c>
      <c r="D73" s="17" t="inlineStr">
        <is>
          <t>Cash settlement. The payment is PENDING_CASH on completion and becomes PAID when the driver marks it collected.</t>
        </is>
      </c>
      <c r="E73" s="9" t="inlineStr">
        <is>
          <t>M</t>
        </is>
      </c>
      <c r="F73" s="9" t="inlineStr">
        <is>
          <t>5</t>
        </is>
      </c>
      <c r="G73" s="9" t="inlineStr">
        <is>
          <t>6.5</t>
        </is>
      </c>
      <c r="H73" s="17" t="inlineStr">
        <is>
          <t>Verified by the linked test cases (see SRS §6).</t>
        </is>
      </c>
      <c r="I73" s="9" t="inlineStr">
        <is>
          <t>T</t>
        </is>
      </c>
      <c r="J73" s="17" t="inlineStr">
        <is>
          <t>TC-27</t>
        </is>
      </c>
      <c r="K73" s="17" t="inlineStr">
        <is>
          <t>T-18</t>
        </is>
      </c>
      <c r="L73" s="17" t="inlineStr">
        <is>
          <t>feature/teslapay-wallet</t>
        </is>
      </c>
      <c r="M73" s="15" t="inlineStr">
        <is>
          <t>Proposed</t>
        </is>
      </c>
      <c r="N73" s="16" t="inlineStr"/>
      <c r="O73" s="16" t="inlineStr"/>
      <c r="P73" s="4">
        <f>","&amp;SUBSTITUTE(F73," ","")&amp;","</f>
        <v/>
      </c>
    </row>
    <row r="74" ht="33" customHeight="1">
      <c r="A74" s="13" t="inlineStr">
        <is>
          <t>BR-17</t>
        </is>
      </c>
      <c r="B74" s="14" t="inlineStr">
        <is>
          <t>BR</t>
        </is>
      </c>
      <c r="C74" s="14" t="inlineStr">
        <is>
          <t>RULES</t>
        </is>
      </c>
      <c r="D74" s="13" t="inlineStr">
        <is>
          <t>Top-up. Simulated only, ৳50–৳5,000 per operation, credited immediately.</t>
        </is>
      </c>
      <c r="E74" s="14" t="inlineStr">
        <is>
          <t>M</t>
        </is>
      </c>
      <c r="F74" s="14" t="inlineStr">
        <is>
          <t>5</t>
        </is>
      </c>
      <c r="G74" s="14" t="inlineStr">
        <is>
          <t>6.5</t>
        </is>
      </c>
      <c r="H74" s="13" t="inlineStr">
        <is>
          <t>Verified by the linked test cases (see SRS §6).</t>
        </is>
      </c>
      <c r="I74" s="14" t="inlineStr">
        <is>
          <t>T</t>
        </is>
      </c>
      <c r="J74" s="13" t="inlineStr">
        <is>
          <t>TC-29</t>
        </is>
      </c>
      <c r="K74" s="13" t="inlineStr">
        <is>
          <t>T-18</t>
        </is>
      </c>
      <c r="L74" s="13" t="inlineStr">
        <is>
          <t>feature/teslapay-wallet</t>
        </is>
      </c>
      <c r="M74" s="15" t="inlineStr">
        <is>
          <t>Proposed</t>
        </is>
      </c>
      <c r="N74" s="16" t="inlineStr"/>
      <c r="O74" s="16" t="inlineStr"/>
      <c r="P74" s="4">
        <f>","&amp;SUBSTITUTE(F74," ","")&amp;","</f>
        <v/>
      </c>
    </row>
    <row r="75" ht="33" customHeight="1">
      <c r="A75" s="17" t="inlineStr">
        <is>
          <t>NFR-SEC-01</t>
        </is>
      </c>
      <c r="B75" s="9" t="inlineStr">
        <is>
          <t>NFR</t>
        </is>
      </c>
      <c r="C75" s="9" t="inlineStr">
        <is>
          <t>SEC</t>
        </is>
      </c>
      <c r="D75" s="17" t="inlineStr">
        <is>
          <t>Passwords shall be stored only as salted, adaptive hashes (bcrypt cost ≥ 10 or argon2id).</t>
        </is>
      </c>
      <c r="E75" s="9" t="inlineStr">
        <is>
          <t>M</t>
        </is>
      </c>
      <c r="F75" s="9" t="inlineStr">
        <is>
          <t>6</t>
        </is>
      </c>
      <c r="G75" s="9" t="inlineStr">
        <is>
          <t>9.1</t>
        </is>
      </c>
      <c r="H75" s="17" t="inlineStr">
        <is>
          <t>No plaintext or reversible password exists in the database or logs.</t>
        </is>
      </c>
      <c r="I75" s="9" t="inlineStr">
        <is>
          <t>I, T</t>
        </is>
      </c>
      <c r="J75" s="17" t="inlineStr">
        <is>
          <t>TC-44</t>
        </is>
      </c>
      <c r="K75" s="17" t="inlineStr">
        <is>
          <t>T-08</t>
        </is>
      </c>
      <c r="L75" s="17" t="inlineStr">
        <is>
          <t>feature/passenger-auth</t>
        </is>
      </c>
      <c r="M75" s="15" t="inlineStr">
        <is>
          <t>Proposed</t>
        </is>
      </c>
      <c r="N75" s="16" t="inlineStr"/>
      <c r="O75" s="16" t="inlineStr"/>
      <c r="P75" s="4">
        <f>","&amp;SUBSTITUTE(F75," ","")&amp;","</f>
        <v/>
      </c>
    </row>
    <row r="76" ht="33" customHeight="1">
      <c r="A76" s="13" t="inlineStr">
        <is>
          <t>NFR-SEC-02</t>
        </is>
      </c>
      <c r="B76" s="14" t="inlineStr">
        <is>
          <t>NFR</t>
        </is>
      </c>
      <c r="C76" s="14" t="inlineStr">
        <is>
          <t>SEC</t>
        </is>
      </c>
      <c r="D76" s="13" t="inlineStr">
        <is>
          <t>Every endpoint except sign-up, sign-in, zones (optional) and health shall require authentication.</t>
        </is>
      </c>
      <c r="E76" s="14" t="inlineStr">
        <is>
          <t>M</t>
        </is>
      </c>
      <c r="F76" s="14" t="inlineStr">
        <is>
          <t>6</t>
        </is>
      </c>
      <c r="G76" s="14" t="inlineStr">
        <is>
          <t>9.1</t>
        </is>
      </c>
      <c r="H76" s="13" t="inlineStr">
        <is>
          <t>Unauthenticated calls return 401.</t>
        </is>
      </c>
      <c r="I76" s="14" t="inlineStr">
        <is>
          <t>T</t>
        </is>
      </c>
      <c r="J76" s="13" t="inlineStr">
        <is>
          <t>TC-32</t>
        </is>
      </c>
      <c r="K76" s="13" t="inlineStr">
        <is>
          <t>T-08</t>
        </is>
      </c>
      <c r="L76" s="13" t="inlineStr">
        <is>
          <t>feature/passenger-auth</t>
        </is>
      </c>
      <c r="M76" s="15" t="inlineStr">
        <is>
          <t>Proposed</t>
        </is>
      </c>
      <c r="N76" s="16" t="inlineStr"/>
      <c r="O76" s="16" t="inlineStr"/>
      <c r="P76" s="4">
        <f>","&amp;SUBSTITUTE(F76," ","")&amp;","</f>
        <v/>
      </c>
    </row>
    <row r="77" ht="63" customHeight="1">
      <c r="A77" s="17" t="inlineStr">
        <is>
          <t>NFR-SEC-03</t>
        </is>
      </c>
      <c r="B77" s="9" t="inlineStr">
        <is>
          <t>NFR</t>
        </is>
      </c>
      <c r="C77" s="9" t="inlineStr">
        <is>
          <t>SEC</t>
        </is>
      </c>
      <c r="D77" s="17" t="inlineStr">
        <is>
          <t>Object-level authorization: a passenger may read or change only their own requests and wallet. A driver may act only on their own pool and on requests shown to them as relevant. Role checks apply to every endpoint.</t>
        </is>
      </c>
      <c r="E77" s="9" t="inlineStr">
        <is>
          <t>M</t>
        </is>
      </c>
      <c r="F77" s="9" t="inlineStr">
        <is>
          <t>2, 6, 12</t>
        </is>
      </c>
      <c r="G77" s="9" t="inlineStr">
        <is>
          <t>9.1</t>
        </is>
      </c>
      <c r="H77" s="17" t="inlineStr">
        <is>
          <t>Rafiq cancelling Nusrat's ride returns 404/403 and nothing changes. Nusrat calling a driver endpoint returns 403. This is covered by automated tests.</t>
        </is>
      </c>
      <c r="I77" s="9" t="inlineStr">
        <is>
          <t>T</t>
        </is>
      </c>
      <c r="J77" s="17" t="inlineStr">
        <is>
          <t>TC-04, TC-13</t>
        </is>
      </c>
      <c r="K77" s="17" t="inlineStr">
        <is>
          <t>T-09</t>
        </is>
      </c>
      <c r="L77" s="17" t="inlineStr">
        <is>
          <t>feature/passenger-auth</t>
        </is>
      </c>
      <c r="M77" s="15" t="inlineStr">
        <is>
          <t>Proposed</t>
        </is>
      </c>
      <c r="N77" s="16" t="inlineStr"/>
      <c r="O77" s="16" t="inlineStr"/>
      <c r="P77" s="4">
        <f>","&amp;SUBSTITUTE(F77," ","")&amp;","</f>
        <v/>
      </c>
    </row>
    <row r="78" ht="33" customHeight="1">
      <c r="A78" s="13" t="inlineStr">
        <is>
          <t>NFR-SEC-04</t>
        </is>
      </c>
      <c r="B78" s="14" t="inlineStr">
        <is>
          <t>NFR</t>
        </is>
      </c>
      <c r="C78" s="14" t="inlineStr">
        <is>
          <t>SEC</t>
        </is>
      </c>
      <c r="D78" s="13" t="inlineStr">
        <is>
          <t>All input shall be validated against a schema at the API boundary (types, ranges, enums, unknown fields rejected).</t>
        </is>
      </c>
      <c r="E78" s="14" t="inlineStr">
        <is>
          <t>M</t>
        </is>
      </c>
      <c r="F78" s="14" t="inlineStr">
        <is>
          <t>6</t>
        </is>
      </c>
      <c r="G78" s="14" t="inlineStr">
        <is>
          <t>9.1</t>
        </is>
      </c>
      <c r="H78" s="13" t="inlineStr">
        <is>
          <t>Invalid payloads return 400 VALIDATION_ERROR with field details.</t>
        </is>
      </c>
      <c r="I78" s="14" t="inlineStr">
        <is>
          <t>T</t>
        </is>
      </c>
      <c r="J78" s="13" t="inlineStr">
        <is>
          <t>TC-33</t>
        </is>
      </c>
      <c r="K78" s="13" t="inlineStr">
        <is>
          <t>T-04</t>
        </is>
      </c>
      <c r="L78" s="13" t="inlineStr">
        <is>
          <t>feature/project-setup</t>
        </is>
      </c>
      <c r="M78" s="15" t="inlineStr">
        <is>
          <t>Proposed</t>
        </is>
      </c>
      <c r="N78" s="16" t="inlineStr"/>
      <c r="O78" s="16" t="inlineStr"/>
      <c r="P78" s="4">
        <f>","&amp;SUBSTITUTE(F78," ","")&amp;","</f>
        <v/>
      </c>
    </row>
    <row r="79" ht="33" customHeight="1">
      <c r="A79" s="17" t="inlineStr">
        <is>
          <t>NFR-SEC-05</t>
        </is>
      </c>
      <c r="B79" s="9" t="inlineStr">
        <is>
          <t>NFR</t>
        </is>
      </c>
      <c r="C79" s="9" t="inlineStr">
        <is>
          <t>SEC</t>
        </is>
      </c>
      <c r="D79" s="17" t="inlineStr">
        <is>
          <t>Secrets shall come only from environment variables. .env.example has placeholders only, and no real secret is committed.</t>
        </is>
      </c>
      <c r="E79" s="9" t="inlineStr">
        <is>
          <t>M</t>
        </is>
      </c>
      <c r="F79" s="9" t="inlineStr">
        <is>
          <t>6, 16</t>
        </is>
      </c>
      <c r="G79" s="9" t="inlineStr">
        <is>
          <t>9.1</t>
        </is>
      </c>
      <c r="H79" s="17" t="inlineStr">
        <is>
          <t>The repository scan finds no secrets, and .env is git-ignored.</t>
        </is>
      </c>
      <c r="I79" s="9" t="inlineStr">
        <is>
          <t>I</t>
        </is>
      </c>
      <c r="J79" s="17" t="inlineStr"/>
      <c r="K79" s="17" t="inlineStr">
        <is>
          <t>T-05</t>
        </is>
      </c>
      <c r="L79" s="17" t="inlineStr">
        <is>
          <t>feature/project-setup</t>
        </is>
      </c>
      <c r="M79" s="15" t="inlineStr">
        <is>
          <t>Proposed</t>
        </is>
      </c>
      <c r="N79" s="16" t="inlineStr"/>
      <c r="O79" s="16" t="inlineStr"/>
      <c r="P79" s="4">
        <f>","&amp;SUBSTITUTE(F79," ","")&amp;","</f>
        <v/>
      </c>
    </row>
    <row r="80" ht="63" customHeight="1">
      <c r="A80" s="13" t="inlineStr">
        <is>
          <t>NFR-SEC-06</t>
        </is>
      </c>
      <c r="B80" s="14" t="inlineStr">
        <is>
          <t>NFR</t>
        </is>
      </c>
      <c r="C80" s="14" t="inlineStr">
        <is>
          <t>SEC</t>
        </is>
      </c>
      <c r="D80" s="13" t="inlineStr">
        <is>
          <t>Session tokens shall be protected: an httpOnly, SameSite cookie (Secure in production), or a short-lived bearer token. CORS is restricted to the frontend origin. Standard security headers are set.</t>
        </is>
      </c>
      <c r="E80" s="14" t="inlineStr">
        <is>
          <t>M</t>
        </is>
      </c>
      <c r="F80" s="14" t="inlineStr">
        <is>
          <t>6</t>
        </is>
      </c>
      <c r="G80" s="14" t="inlineStr">
        <is>
          <t>9.1</t>
        </is>
      </c>
      <c r="H80" s="13" t="inlineStr">
        <is>
          <t>Inspection of headers and cookie flags passes.</t>
        </is>
      </c>
      <c r="I80" s="14" t="inlineStr">
        <is>
          <t>I</t>
        </is>
      </c>
      <c r="J80" s="13" t="inlineStr"/>
      <c r="K80" s="13" t="inlineStr">
        <is>
          <t>T-04, T-08</t>
        </is>
      </c>
      <c r="L80" s="13" t="inlineStr">
        <is>
          <t>feature/project-setup, feature/passenger-auth</t>
        </is>
      </c>
      <c r="M80" s="15" t="inlineStr">
        <is>
          <t>Proposed</t>
        </is>
      </c>
      <c r="N80" s="16" t="inlineStr"/>
      <c r="O80" s="16" t="inlineStr"/>
      <c r="P80" s="4">
        <f>","&amp;SUBSTITUTE(F80," ","")&amp;","</f>
        <v/>
      </c>
    </row>
    <row r="81" ht="18" customHeight="1">
      <c r="A81" s="17" t="inlineStr">
        <is>
          <t>NFR-SEC-07</t>
        </is>
      </c>
      <c r="B81" s="9" t="inlineStr">
        <is>
          <t>NFR</t>
        </is>
      </c>
      <c r="C81" s="9" t="inlineStr">
        <is>
          <t>SEC</t>
        </is>
      </c>
      <c r="D81" s="17" t="inlineStr">
        <is>
          <t>Authentication endpoints shall be rate-limited per IP.</t>
        </is>
      </c>
      <c r="E81" s="9" t="inlineStr">
        <is>
          <t>S</t>
        </is>
      </c>
      <c r="F81" s="9" t="inlineStr">
        <is>
          <t>12</t>
        </is>
      </c>
      <c r="G81" s="9" t="inlineStr">
        <is>
          <t>9.1</t>
        </is>
      </c>
      <c r="H81" s="17" t="inlineStr">
        <is>
          <t>More than 10 login attempts per minute from one IP returns 429.</t>
        </is>
      </c>
      <c r="I81" s="9" t="inlineStr">
        <is>
          <t>T</t>
        </is>
      </c>
      <c r="J81" s="17" t="inlineStr">
        <is>
          <t>TC-38</t>
        </is>
      </c>
      <c r="K81" s="17" t="inlineStr">
        <is>
          <t>T-09</t>
        </is>
      </c>
      <c r="L81" s="17" t="inlineStr">
        <is>
          <t>feature/passenger-auth</t>
        </is>
      </c>
      <c r="M81" s="15" t="inlineStr">
        <is>
          <t>Proposed</t>
        </is>
      </c>
      <c r="N81" s="16" t="inlineStr"/>
      <c r="O81" s="16" t="inlineStr"/>
      <c r="P81" s="4">
        <f>","&amp;SUBSTITUTE(F81," ","")&amp;","</f>
        <v/>
      </c>
    </row>
    <row r="82" ht="18" customHeight="1">
      <c r="A82" s="13" t="inlineStr">
        <is>
          <t>NFR-SEC-08</t>
        </is>
      </c>
      <c r="B82" s="14" t="inlineStr">
        <is>
          <t>NFR</t>
        </is>
      </c>
      <c r="C82" s="14" t="inlineStr">
        <is>
          <t>SEC</t>
        </is>
      </c>
      <c r="D82" s="13" t="inlineStr">
        <is>
          <t>Database access shall use parameterised queries or an ORM only.</t>
        </is>
      </c>
      <c r="E82" s="14" t="inlineStr">
        <is>
          <t>M</t>
        </is>
      </c>
      <c r="F82" s="14" t="inlineStr">
        <is>
          <t>6</t>
        </is>
      </c>
      <c r="G82" s="14" t="inlineStr">
        <is>
          <t>9.1</t>
        </is>
      </c>
      <c r="H82" s="13" t="inlineStr">
        <is>
          <t>No string-concatenated SQL appears in the code.</t>
        </is>
      </c>
      <c r="I82" s="14" t="inlineStr">
        <is>
          <t>I</t>
        </is>
      </c>
      <c r="J82" s="13" t="inlineStr"/>
      <c r="K82" s="13" t="inlineStr">
        <is>
          <t>T-04</t>
        </is>
      </c>
      <c r="L82" s="13" t="inlineStr">
        <is>
          <t>feature/project-setup</t>
        </is>
      </c>
      <c r="M82" s="15" t="inlineStr">
        <is>
          <t>Proposed</t>
        </is>
      </c>
      <c r="N82" s="16" t="inlineStr"/>
      <c r="O82" s="16" t="inlineStr"/>
      <c r="P82" s="4">
        <f>","&amp;SUBSTITUTE(F82," ","")&amp;","</f>
        <v/>
      </c>
    </row>
    <row r="83" ht="33" customHeight="1">
      <c r="A83" s="17" t="inlineStr">
        <is>
          <t>NFR-SEC-09</t>
        </is>
      </c>
      <c r="B83" s="9" t="inlineStr">
        <is>
          <t>NFR</t>
        </is>
      </c>
      <c r="C83" s="9" t="inlineStr">
        <is>
          <t>SEC</t>
        </is>
      </c>
      <c r="D83" s="17" t="inlineStr">
        <is>
          <t>Error responses shall not leak stack traces or internal details in production.</t>
        </is>
      </c>
      <c r="E83" s="9" t="inlineStr">
        <is>
          <t>M</t>
        </is>
      </c>
      <c r="F83" s="9" t="inlineStr">
        <is>
          <t>6</t>
        </is>
      </c>
      <c r="G83" s="9" t="inlineStr">
        <is>
          <t>9.1</t>
        </is>
      </c>
      <c r="H83" s="17" t="inlineStr">
        <is>
          <t>A 500 response contains only the code, a generic message and the requestId.</t>
        </is>
      </c>
      <c r="I83" s="9" t="inlineStr">
        <is>
          <t>T</t>
        </is>
      </c>
      <c r="J83" s="17" t="inlineStr">
        <is>
          <t>TC-34</t>
        </is>
      </c>
      <c r="K83" s="17" t="inlineStr">
        <is>
          <t>T-04</t>
        </is>
      </c>
      <c r="L83" s="17" t="inlineStr">
        <is>
          <t>feature/project-setup</t>
        </is>
      </c>
      <c r="M83" s="15" t="inlineStr">
        <is>
          <t>Proposed</t>
        </is>
      </c>
      <c r="N83" s="16" t="inlineStr"/>
      <c r="O83" s="16" t="inlineStr"/>
      <c r="P83" s="4">
        <f>","&amp;SUBSTITUTE(F83," ","")&amp;","</f>
        <v/>
      </c>
    </row>
    <row r="84" ht="63" customHeight="1">
      <c r="A84" s="13" t="inlineStr">
        <is>
          <t>NFR-CON-01</t>
        </is>
      </c>
      <c r="B84" s="14" t="inlineStr">
        <is>
          <t>NFR</t>
        </is>
      </c>
      <c r="C84" s="14" t="inlineStr">
        <is>
          <t>CON</t>
        </is>
      </c>
      <c r="D84" s="13" t="inlineStr">
        <is>
          <t>Last-seat race. When Bullet has 1 free seat and two accept operations for different 1-seat requests (Nusrat's and Shirin's) run concurrently, exactly one shall succeed. The other returns 409 CAPACITY_EXCEEDED, and occupied seats never exceed capacity.</t>
        </is>
      </c>
      <c r="E84" s="14" t="inlineStr">
        <is>
          <t>M</t>
        </is>
      </c>
      <c r="F84" s="14" t="inlineStr">
        <is>
          <t>12</t>
        </is>
      </c>
      <c r="G84" s="14" t="inlineStr">
        <is>
          <t>9.2</t>
        </is>
      </c>
      <c r="H84" s="13" t="inlineStr">
        <is>
          <t>An automated test fires both accepts in parallel N times (N ≥ 20). Every run has exactly one success, and the DB CHECK is never violated.</t>
        </is>
      </c>
      <c r="I84" s="14" t="inlineStr">
        <is>
          <t>T</t>
        </is>
      </c>
      <c r="J84" s="13" t="inlineStr">
        <is>
          <t>TC-06, TC-07</t>
        </is>
      </c>
      <c r="K84" s="13" t="inlineStr">
        <is>
          <t>T-15, T-16</t>
        </is>
      </c>
      <c r="L84" s="13" t="inlineStr">
        <is>
          <t>feature/tesla-pooling</t>
        </is>
      </c>
      <c r="M84" s="15" t="inlineStr">
        <is>
          <t>Proposed</t>
        </is>
      </c>
      <c r="N84" s="16" t="inlineStr"/>
      <c r="O84" s="16" t="inlineStr"/>
      <c r="P84" s="4">
        <f>","&amp;SUBSTITUTE(F84," ","")&amp;","</f>
        <v/>
      </c>
    </row>
    <row r="85" ht="63" customHeight="1">
      <c r="A85" s="17" t="inlineStr">
        <is>
          <t>NFR-CON-02</t>
        </is>
      </c>
      <c r="B85" s="9" t="inlineStr">
        <is>
          <t>NFR</t>
        </is>
      </c>
      <c r="C85" s="9" t="inlineStr">
        <is>
          <t>CON</t>
        </is>
      </c>
      <c r="D85" s="17" t="inlineStr">
        <is>
          <t>Every state transition shall be an atomic compare-and-set on the current status (e.g. update … where status = expected), inside a DB transaction together with all its side effects (membership, seats, fare, payment, audit).</t>
        </is>
      </c>
      <c r="E85" s="9" t="inlineStr">
        <is>
          <t>M</t>
        </is>
      </c>
      <c r="F85" s="9" t="inlineStr">
        <is>
          <t>6, 12</t>
        </is>
      </c>
      <c r="G85" s="9" t="inlineStr">
        <is>
          <t>9.2</t>
        </is>
      </c>
      <c r="H85" s="17" t="inlineStr">
        <is>
          <t>A crash or error mid-operation leaves no partial state. Two concurrent transitions on the same entity give one success and one 409.</t>
        </is>
      </c>
      <c r="I85" s="9" t="inlineStr">
        <is>
          <t>T</t>
        </is>
      </c>
      <c r="J85" s="17" t="inlineStr">
        <is>
          <t>TC-06, TC-17</t>
        </is>
      </c>
      <c r="K85" s="17" t="inlineStr">
        <is>
          <t>T-12, T-16</t>
        </is>
      </c>
      <c r="L85" s="17" t="inlineStr">
        <is>
          <t>feature/ride-request, feature/tesla-pooling</t>
        </is>
      </c>
      <c r="M85" s="15" t="inlineStr">
        <is>
          <t>Proposed</t>
        </is>
      </c>
      <c r="N85" s="16" t="inlineStr"/>
      <c r="O85" s="16" t="inlineStr"/>
      <c r="P85" s="4">
        <f>","&amp;SUBSTITUTE(F85," ","")&amp;","</f>
        <v/>
      </c>
    </row>
    <row r="86" ht="63" customHeight="1">
      <c r="A86" s="13" t="inlineStr">
        <is>
          <t>NFR-CON-03</t>
        </is>
      </c>
      <c r="B86" s="14" t="inlineStr">
        <is>
          <t>NFR</t>
        </is>
      </c>
      <c r="C86" s="14" t="inlineStr">
        <is>
          <t>CON</t>
        </is>
      </c>
      <c r="D86" s="13" t="inlineStr">
        <is>
          <t>Seat claims shall be serialised per pool (row-level lock on the pool, or a conditional increment guarded by the capacity CHECK). The chosen mechanism shall be documented in the README together with what would change at larger scale.</t>
        </is>
      </c>
      <c r="E86" s="14" t="inlineStr">
        <is>
          <t>M</t>
        </is>
      </c>
      <c r="F86" s="14" t="inlineStr">
        <is>
          <t>12</t>
        </is>
      </c>
      <c r="G86" s="14" t="inlineStr">
        <is>
          <t>9.2</t>
        </is>
      </c>
      <c r="H86" s="13" t="inlineStr">
        <is>
          <t>The README section "Concurrency" exists and matches the code.</t>
        </is>
      </c>
      <c r="I86" s="14" t="inlineStr">
        <is>
          <t>I, T</t>
        </is>
      </c>
      <c r="J86" s="13" t="inlineStr">
        <is>
          <t>TC-06</t>
        </is>
      </c>
      <c r="K86" s="13" t="inlineStr">
        <is>
          <t>T-15</t>
        </is>
      </c>
      <c r="L86" s="13" t="inlineStr">
        <is>
          <t>feature/tesla-pooling</t>
        </is>
      </c>
      <c r="M86" s="15" t="inlineStr">
        <is>
          <t>Proposed</t>
        </is>
      </c>
      <c r="N86" s="16" t="inlineStr">
        <is>
          <t>Mechanism designed: ARCHITECTURE.md §7, ADR-0006</t>
        </is>
      </c>
      <c r="O86" s="16" t="inlineStr"/>
      <c r="P86" s="4">
        <f>","&amp;SUBSTITUTE(F86," ","")&amp;","</f>
        <v/>
      </c>
    </row>
    <row r="87" ht="48" customHeight="1">
      <c r="A87" s="17" t="inlineStr">
        <is>
          <t>NFR-CON-04</t>
        </is>
      </c>
      <c r="B87" s="9" t="inlineStr">
        <is>
          <t>NFR</t>
        </is>
      </c>
      <c r="C87" s="9" t="inlineStr">
        <is>
          <t>CON</t>
        </is>
      </c>
      <c r="D87" s="17" t="inlineStr">
        <is>
          <t>"One active request per passenger", "one active pool per driver" and "a request is in at most one active pool" shall be enforced by database constraints, in addition to service checks.</t>
        </is>
      </c>
      <c r="E87" s="9" t="inlineStr">
        <is>
          <t>M</t>
        </is>
      </c>
      <c r="F87" s="9" t="inlineStr">
        <is>
          <t>6, 12</t>
        </is>
      </c>
      <c r="G87" s="9" t="inlineStr">
        <is>
          <t>9.2</t>
        </is>
      </c>
      <c r="H87" s="17" t="inlineStr">
        <is>
          <t>Direct concurrent inserts cannot create duplicates.</t>
        </is>
      </c>
      <c r="I87" s="9" t="inlineStr">
        <is>
          <t>T</t>
        </is>
      </c>
      <c r="J87" s="17" t="inlineStr">
        <is>
          <t>TC-18, TC-19</t>
        </is>
      </c>
      <c r="K87" s="17" t="inlineStr">
        <is>
          <t>T-06, T-15</t>
        </is>
      </c>
      <c r="L87" s="17" t="inlineStr">
        <is>
          <t>feature/db-schema, feature/tesla-pooling</t>
        </is>
      </c>
      <c r="M87" s="15" t="inlineStr">
        <is>
          <t>Proposed</t>
        </is>
      </c>
      <c r="N87" s="16" t="inlineStr"/>
      <c r="O87" s="16" t="inlineStr"/>
      <c r="P87" s="4">
        <f>","&amp;SUBSTITUTE(F87," ","")&amp;","</f>
        <v/>
      </c>
    </row>
    <row r="88" ht="33" customHeight="1">
      <c r="A88" s="13" t="inlineStr">
        <is>
          <t>NFR-CON-05</t>
        </is>
      </c>
      <c r="B88" s="14" t="inlineStr">
        <is>
          <t>NFR</t>
        </is>
      </c>
      <c r="C88" s="14" t="inlineStr">
        <is>
          <t>CON</t>
        </is>
      </c>
      <c r="D88" s="13" t="inlineStr">
        <is>
          <t>Wallet debits and credits shall be atomic with their ledger entry. The balance can never go negative.</t>
        </is>
      </c>
      <c r="E88" s="14" t="inlineStr">
        <is>
          <t>M</t>
        </is>
      </c>
      <c r="F88" s="14" t="inlineStr">
        <is>
          <t>5, 6</t>
        </is>
      </c>
      <c r="G88" s="14" t="inlineStr">
        <is>
          <t>9.2</t>
        </is>
      </c>
      <c r="H88" s="13" t="inlineStr">
        <is>
          <t>Concurrent debit tests leave balance = Σ ledger and balance ≥ 0.</t>
        </is>
      </c>
      <c r="I88" s="14" t="inlineStr">
        <is>
          <t>T</t>
        </is>
      </c>
      <c r="J88" s="13" t="inlineStr">
        <is>
          <t>TC-26</t>
        </is>
      </c>
      <c r="K88" s="13" t="inlineStr">
        <is>
          <t>T-18</t>
        </is>
      </c>
      <c r="L88" s="13" t="inlineStr">
        <is>
          <t>feature/teslapay-wallet</t>
        </is>
      </c>
      <c r="M88" s="15" t="inlineStr">
        <is>
          <t>Proposed</t>
        </is>
      </c>
      <c r="N88" s="16" t="inlineStr"/>
      <c r="O88" s="16" t="inlineStr"/>
      <c r="P88" s="4">
        <f>","&amp;SUBSTITUTE(F88," ","")&amp;","</f>
        <v/>
      </c>
    </row>
    <row r="89" ht="33" customHeight="1">
      <c r="A89" s="17" t="inlineStr">
        <is>
          <t>NFR-CON-06</t>
        </is>
      </c>
      <c r="B89" s="9" t="inlineStr">
        <is>
          <t>NFR</t>
        </is>
      </c>
      <c r="C89" s="9" t="inlineStr">
        <is>
          <t>CON</t>
        </is>
      </c>
      <c r="D89" s="17" t="inlineStr">
        <is>
          <t>Request creation should be idempotent for client retries (an Idempotency-Key header, or reliance on NFR-CON-04).</t>
        </is>
      </c>
      <c r="E89" s="9" t="inlineStr">
        <is>
          <t>C</t>
        </is>
      </c>
      <c r="F89" s="9" t="inlineStr">
        <is>
          <t>12</t>
        </is>
      </c>
      <c r="G89" s="9" t="inlineStr">
        <is>
          <t>9.2</t>
        </is>
      </c>
      <c r="H89" s="17" t="inlineStr">
        <is>
          <t>A retried POST with the same key returns the original request.</t>
        </is>
      </c>
      <c r="I89" s="9" t="inlineStr">
        <is>
          <t>T</t>
        </is>
      </c>
      <c r="J89" s="17" t="inlineStr">
        <is>
          <t>TC-18</t>
        </is>
      </c>
      <c r="K89" s="17" t="inlineStr">
        <is>
          <t>T-13</t>
        </is>
      </c>
      <c r="L89" s="17" t="inlineStr">
        <is>
          <t>feature/ride-request</t>
        </is>
      </c>
      <c r="M89" s="15" t="inlineStr">
        <is>
          <t>Proposed</t>
        </is>
      </c>
      <c r="N89" s="16" t="inlineStr"/>
      <c r="O89" s="16" t="inlineStr"/>
      <c r="P89" s="4">
        <f>","&amp;SUBSTITUTE(F89," ","")&amp;","</f>
        <v/>
      </c>
    </row>
    <row r="90" ht="33" customHeight="1">
      <c r="A90" s="13" t="inlineStr">
        <is>
          <t>NFR-REL-01</t>
        </is>
      </c>
      <c r="B90" s="14" t="inlineStr">
        <is>
          <t>NFR</t>
        </is>
      </c>
      <c r="C90" s="14" t="inlineStr">
        <is>
          <t>REL</t>
        </is>
      </c>
      <c r="D90" s="13" t="inlineStr">
        <is>
          <t>All API errors shall use the standard error format (§8.2), with a correlation requestId.</t>
        </is>
      </c>
      <c r="E90" s="14" t="inlineStr">
        <is>
          <t>M</t>
        </is>
      </c>
      <c r="F90" s="14" t="inlineStr">
        <is>
          <t>6</t>
        </is>
      </c>
      <c r="G90" s="14" t="inlineStr">
        <is>
          <t>9.3</t>
        </is>
      </c>
      <c r="H90" s="13" t="inlineStr">
        <is>
          <t>Contract tests check the error shape.</t>
        </is>
      </c>
      <c r="I90" s="14" t="inlineStr">
        <is>
          <t>T</t>
        </is>
      </c>
      <c r="J90" s="13" t="inlineStr">
        <is>
          <t>TC-34</t>
        </is>
      </c>
      <c r="K90" s="13" t="inlineStr">
        <is>
          <t>T-04</t>
        </is>
      </c>
      <c r="L90" s="13" t="inlineStr">
        <is>
          <t>feature/project-setup</t>
        </is>
      </c>
      <c r="M90" s="15" t="inlineStr">
        <is>
          <t>Proposed</t>
        </is>
      </c>
      <c r="N90" s="16" t="inlineStr"/>
      <c r="O90" s="16" t="inlineStr"/>
      <c r="P90" s="4">
        <f>","&amp;SUBSTITUTE(F90," ","")&amp;","</f>
        <v/>
      </c>
    </row>
    <row r="91" ht="48" customHeight="1">
      <c r="A91" s="17" t="inlineStr">
        <is>
          <t>NFR-REL-02</t>
        </is>
      </c>
      <c r="B91" s="9" t="inlineStr">
        <is>
          <t>NFR</t>
        </is>
      </c>
      <c r="C91" s="9" t="inlineStr">
        <is>
          <t>REL</t>
        </is>
      </c>
      <c r="D91" s="17" t="inlineStr">
        <is>
          <t>GET /health shall report API liveness and DB connectivity. Docker health checks shall use it, and the database container shall have its own health check.</t>
        </is>
      </c>
      <c r="E91" s="9" t="inlineStr">
        <is>
          <t>M</t>
        </is>
      </c>
      <c r="F91" s="9" t="inlineStr">
        <is>
          <t>6</t>
        </is>
      </c>
      <c r="G91" s="9" t="inlineStr">
        <is>
          <t>9.3</t>
        </is>
      </c>
      <c r="H91" s="17" t="inlineStr">
        <is>
          <t>docker compose ps shows the services as healthy. The API starts only after the DB is healthy.</t>
        </is>
      </c>
      <c r="I91" s="9" t="inlineStr">
        <is>
          <t>D, I</t>
        </is>
      </c>
      <c r="J91" s="17" t="inlineStr">
        <is>
          <t>TC-36</t>
        </is>
      </c>
      <c r="K91" s="17" t="inlineStr">
        <is>
          <t>T-05</t>
        </is>
      </c>
      <c r="L91" s="17" t="inlineStr">
        <is>
          <t>feature/project-setup</t>
        </is>
      </c>
      <c r="M91" s="15" t="inlineStr">
        <is>
          <t>Proposed</t>
        </is>
      </c>
      <c r="N91" s="16" t="inlineStr"/>
      <c r="O91" s="16" t="inlineStr"/>
      <c r="P91" s="4">
        <f>","&amp;SUBSTITUTE(F91," ","")&amp;","</f>
        <v/>
      </c>
    </row>
    <row r="92" ht="48" customHeight="1">
      <c r="A92" s="13" t="inlineStr">
        <is>
          <t>NFR-REL-03</t>
        </is>
      </c>
      <c r="B92" s="14" t="inlineStr">
        <is>
          <t>NFR</t>
        </is>
      </c>
      <c r="C92" s="14" t="inlineStr">
        <is>
          <t>REL</t>
        </is>
      </c>
      <c r="D92" s="13" t="inlineStr">
        <is>
          <t>If the database is unreachable, the API shall return 503 and recover automatically when the DB returns, with no restart needed.</t>
        </is>
      </c>
      <c r="E92" s="14" t="inlineStr">
        <is>
          <t>S</t>
        </is>
      </c>
      <c r="F92" s="14" t="inlineStr">
        <is>
          <t>6</t>
        </is>
      </c>
      <c r="G92" s="14" t="inlineStr">
        <is>
          <t>9.3</t>
        </is>
      </c>
      <c r="H92" s="13" t="inlineStr">
        <is>
          <t>Manual test: stop the DB, call the API (503), start the DB, call the API (200).</t>
        </is>
      </c>
      <c r="I92" s="14" t="inlineStr">
        <is>
          <t>D</t>
        </is>
      </c>
      <c r="J92" s="13" t="inlineStr">
        <is>
          <t>TC-42</t>
        </is>
      </c>
      <c r="K92" s="13" t="inlineStr">
        <is>
          <t>T-05</t>
        </is>
      </c>
      <c r="L92" s="13" t="inlineStr">
        <is>
          <t>feature/project-setup</t>
        </is>
      </c>
      <c r="M92" s="15" t="inlineStr">
        <is>
          <t>Proposed</t>
        </is>
      </c>
      <c r="N92" s="16" t="inlineStr"/>
      <c r="O92" s="16" t="inlineStr"/>
      <c r="P92" s="4">
        <f>","&amp;SUBSTITUTE(F92," ","")&amp;","</f>
        <v/>
      </c>
    </row>
    <row r="93" ht="48" customHeight="1">
      <c r="A93" s="17" t="inlineStr">
        <is>
          <t>NFR-REL-04</t>
        </is>
      </c>
      <c r="B93" s="9" t="inlineStr">
        <is>
          <t>NFR</t>
        </is>
      </c>
      <c r="C93" s="9" t="inlineStr">
        <is>
          <t>REL</t>
        </is>
      </c>
      <c r="D93" s="17" t="inlineStr">
        <is>
          <t>Request expiry (RT-04) shall be applied reliably even if no scheduler has run: expired requests shall never be accepted and shall show as EXPIRED on read.</t>
        </is>
      </c>
      <c r="E93" s="9" t="inlineStr">
        <is>
          <t>M</t>
        </is>
      </c>
      <c r="F93" s="9" t="inlineStr">
        <is>
          <t>3</t>
        </is>
      </c>
      <c r="G93" s="9" t="inlineStr">
        <is>
          <t>9.3</t>
        </is>
      </c>
      <c r="H93" s="17" t="inlineStr">
        <is>
          <t>Accepting a request older than 15 min returns 409, whether or not the sweeper has run.</t>
        </is>
      </c>
      <c r="I93" s="9" t="inlineStr">
        <is>
          <t>T</t>
        </is>
      </c>
      <c r="J93" s="17" t="inlineStr">
        <is>
          <t>TC-24</t>
        </is>
      </c>
      <c r="K93" s="17" t="inlineStr">
        <is>
          <t>T-13</t>
        </is>
      </c>
      <c r="L93" s="17" t="inlineStr">
        <is>
          <t>feature/ride-request</t>
        </is>
      </c>
      <c r="M93" s="15" t="inlineStr">
        <is>
          <t>Proposed</t>
        </is>
      </c>
      <c r="N93" s="16" t="inlineStr"/>
      <c r="O93" s="16" t="inlineStr"/>
      <c r="P93" s="4">
        <f>","&amp;SUBSTITUTE(F93," ","")&amp;","</f>
        <v/>
      </c>
    </row>
    <row r="94" ht="33" customHeight="1">
      <c r="A94" s="13" t="inlineStr">
        <is>
          <t>NFR-PERF-01</t>
        </is>
      </c>
      <c r="B94" s="14" t="inlineStr">
        <is>
          <t>NFR</t>
        </is>
      </c>
      <c r="C94" s="14" t="inlineStr">
        <is>
          <t>PERF</t>
        </is>
      </c>
      <c r="D94" s="13" t="inlineStr">
        <is>
          <t>With seed-scale data on the local Docker setup, 95 % of API requests shall complete in under 300 ms.</t>
        </is>
      </c>
      <c r="E94" s="14" t="inlineStr">
        <is>
          <t>S</t>
        </is>
      </c>
      <c r="F94" s="14" t="inlineStr">
        <is>
          <t>6</t>
        </is>
      </c>
      <c r="G94" s="14" t="inlineStr">
        <is>
          <t>9.4</t>
        </is>
      </c>
      <c r="H94" s="13" t="inlineStr">
        <is>
          <t>A simple load script (e.g. 20 concurrent users for 1 min) meets p95 &lt; 300 ms.</t>
        </is>
      </c>
      <c r="I94" s="14" t="inlineStr">
        <is>
          <t>T (load script)</t>
        </is>
      </c>
      <c r="J94" s="13" t="inlineStr">
        <is>
          <t>TC-46</t>
        </is>
      </c>
      <c r="K94" s="13" t="inlineStr">
        <is>
          <t>T-23</t>
        </is>
      </c>
      <c r="L94" s="13" t="inlineStr">
        <is>
          <t>pre-release</t>
        </is>
      </c>
      <c r="M94" s="15" t="inlineStr">
        <is>
          <t>Proposed</t>
        </is>
      </c>
      <c r="N94" s="16" t="inlineStr"/>
      <c r="O94" s="16" t="inlineStr"/>
      <c r="P94" s="4">
        <f>","&amp;SUBSTITUTE(F94," ","")&amp;","</f>
        <v/>
      </c>
    </row>
    <row r="95" ht="33" customHeight="1">
      <c r="A95" s="17" t="inlineStr">
        <is>
          <t>NFR-PERF-02</t>
        </is>
      </c>
      <c r="B95" s="9" t="inlineStr">
        <is>
          <t>NFR</t>
        </is>
      </c>
      <c r="C95" s="9" t="inlineStr">
        <is>
          <t>PERF</t>
        </is>
      </c>
      <c r="D95" s="17" t="inlineStr">
        <is>
          <t>The indexes listed in §7 shall exist, so that request lists, history and pool lookups do not need full table scans.</t>
        </is>
      </c>
      <c r="E95" s="9" t="inlineStr">
        <is>
          <t>M</t>
        </is>
      </c>
      <c r="F95" s="9" t="inlineStr">
        <is>
          <t>6</t>
        </is>
      </c>
      <c r="G95" s="9" t="inlineStr">
        <is>
          <t>9.4</t>
        </is>
      </c>
      <c r="H95" s="17" t="inlineStr">
        <is>
          <t>Migration inspection and EXPLAIN on key queries.</t>
        </is>
      </c>
      <c r="I95" s="9" t="inlineStr">
        <is>
          <t>I</t>
        </is>
      </c>
      <c r="J95" s="17" t="inlineStr"/>
      <c r="K95" s="17" t="inlineStr">
        <is>
          <t>T-06</t>
        </is>
      </c>
      <c r="L95" s="17" t="inlineStr">
        <is>
          <t>feature/db-schema</t>
        </is>
      </c>
      <c r="M95" s="15" t="inlineStr">
        <is>
          <t>Proposed</t>
        </is>
      </c>
      <c r="N95" s="16" t="inlineStr"/>
      <c r="O95" s="16" t="inlineStr"/>
      <c r="P95" s="4">
        <f>","&amp;SUBSTITUTE(F95," ","")&amp;","</f>
        <v/>
      </c>
    </row>
    <row r="96" ht="33" customHeight="1">
      <c r="A96" s="13" t="inlineStr">
        <is>
          <t>NFR-PERF-03</t>
        </is>
      </c>
      <c r="B96" s="14" t="inlineStr">
        <is>
          <t>NFR</t>
        </is>
      </c>
      <c r="C96" s="14" t="inlineStr">
        <is>
          <t>PERF</t>
        </is>
      </c>
      <c r="D96" s="13" t="inlineStr">
        <is>
          <t>The client polling interval shall be 3–5 s, and polling shall stop when a ride reaches a terminal state or the tab is hidden.</t>
        </is>
      </c>
      <c r="E96" s="14" t="inlineStr">
        <is>
          <t>S</t>
        </is>
      </c>
      <c r="F96" s="14" t="inlineStr">
        <is>
          <t>3</t>
        </is>
      </c>
      <c r="G96" s="14" t="inlineStr">
        <is>
          <t>9.4</t>
        </is>
      </c>
      <c r="H96" s="13" t="inlineStr">
        <is>
          <t>Inspection of network activity.</t>
        </is>
      </c>
      <c r="I96" s="14" t="inlineStr">
        <is>
          <t>I</t>
        </is>
      </c>
      <c r="J96" s="13" t="inlineStr"/>
      <c r="K96" s="13" t="inlineStr">
        <is>
          <t>T-20</t>
        </is>
      </c>
      <c r="L96" s="13" t="inlineStr">
        <is>
          <t>feature/passenger-ui</t>
        </is>
      </c>
      <c r="M96" s="15" t="inlineStr">
        <is>
          <t>Proposed</t>
        </is>
      </c>
      <c r="N96" s="16" t="inlineStr"/>
      <c r="O96" s="16" t="inlineStr"/>
      <c r="P96" s="4">
        <f>","&amp;SUBSTITUTE(F96," ","")&amp;","</f>
        <v/>
      </c>
    </row>
    <row r="97" ht="33" customHeight="1">
      <c r="A97" s="17" t="inlineStr">
        <is>
          <t>NFR-USA-01</t>
        </is>
      </c>
      <c r="B97" s="9" t="inlineStr">
        <is>
          <t>NFR</t>
        </is>
      </c>
      <c r="C97" s="9" t="inlineStr">
        <is>
          <t>USA</t>
        </is>
      </c>
      <c r="D97" s="17" t="inlineStr">
        <is>
          <t>Every data-driven view shall have explicit loading, empty and error states, and an error state shall offer a retry.</t>
        </is>
      </c>
      <c r="E97" s="9" t="inlineStr">
        <is>
          <t>M</t>
        </is>
      </c>
      <c r="F97" s="9" t="inlineStr">
        <is>
          <t>6</t>
        </is>
      </c>
      <c r="G97" s="9" t="inlineStr">
        <is>
          <t>9.5</t>
        </is>
      </c>
      <c r="H97" s="17" t="inlineStr">
        <is>
          <t>Review of every screen in §8.1.</t>
        </is>
      </c>
      <c r="I97" s="9" t="inlineStr">
        <is>
          <t>D, I</t>
        </is>
      </c>
      <c r="J97" s="17" t="inlineStr">
        <is>
          <t>TC-41</t>
        </is>
      </c>
      <c r="K97" s="17" t="inlineStr">
        <is>
          <t>T-19</t>
        </is>
      </c>
      <c r="L97" s="17" t="inlineStr">
        <is>
          <t>feature/passenger-ui</t>
        </is>
      </c>
      <c r="M97" s="15" t="inlineStr">
        <is>
          <t>Proposed</t>
        </is>
      </c>
      <c r="N97" s="16" t="inlineStr"/>
      <c r="O97" s="16" t="inlineStr"/>
      <c r="P97" s="4">
        <f>","&amp;SUBSTITUTE(F97," ","")&amp;","</f>
        <v/>
      </c>
    </row>
    <row r="98" ht="33" customHeight="1">
      <c r="A98" s="13" t="inlineStr">
        <is>
          <t>NFR-USA-02</t>
        </is>
      </c>
      <c r="B98" s="14" t="inlineStr">
        <is>
          <t>NFR</t>
        </is>
      </c>
      <c r="C98" s="14" t="inlineStr">
        <is>
          <t>USA</t>
        </is>
      </c>
      <c r="D98" s="13" t="inlineStr">
        <is>
          <t>Statuses shall be shown with human-readable labels (e.g. STARTED = "On the way") and a progress stepper or timeline.</t>
        </is>
      </c>
      <c r="E98" s="14" t="inlineStr">
        <is>
          <t>M</t>
        </is>
      </c>
      <c r="F98" s="14" t="inlineStr">
        <is>
          <t>3, 6</t>
        </is>
      </c>
      <c r="G98" s="14" t="inlineStr">
        <is>
          <t>9.5</t>
        </is>
      </c>
      <c r="H98" s="13" t="inlineStr">
        <is>
          <t>Visual check.</t>
        </is>
      </c>
      <c r="I98" s="14" t="inlineStr">
        <is>
          <t>D, I</t>
        </is>
      </c>
      <c r="J98" s="13" t="inlineStr">
        <is>
          <t>TC-41</t>
        </is>
      </c>
      <c r="K98" s="13" t="inlineStr">
        <is>
          <t>T-20</t>
        </is>
      </c>
      <c r="L98" s="13" t="inlineStr">
        <is>
          <t>feature/passenger-ui</t>
        </is>
      </c>
      <c r="M98" s="15" t="inlineStr">
        <is>
          <t>Proposed</t>
        </is>
      </c>
      <c r="N98" s="16" t="inlineStr"/>
      <c r="O98" s="16" t="inlineStr"/>
      <c r="P98" s="4">
        <f>","&amp;SUBSTITUTE(F98," ","")&amp;","</f>
        <v/>
      </c>
    </row>
    <row r="99" ht="48" customHeight="1">
      <c r="A99" s="17" t="inlineStr">
        <is>
          <t>NFR-USA-03</t>
        </is>
      </c>
      <c r="B99" s="9" t="inlineStr">
        <is>
          <t>NFR</t>
        </is>
      </c>
      <c r="C99" s="9" t="inlineStr">
        <is>
          <t>USA</t>
        </is>
      </c>
      <c r="D99" s="17" t="inlineStr">
        <is>
          <t>Action buttons shall appear only when the transition is valid for the current state and role. The server remains authoritative (BR-06).</t>
        </is>
      </c>
      <c r="E99" s="9" t="inlineStr">
        <is>
          <t>M</t>
        </is>
      </c>
      <c r="F99" s="9" t="inlineStr">
        <is>
          <t>3</t>
        </is>
      </c>
      <c r="G99" s="9" t="inlineStr">
        <is>
          <t>9.5</t>
        </is>
      </c>
      <c r="H99" s="17" t="inlineStr">
        <is>
          <t>A driver in OPEN sees "Arrived" but not "Start".</t>
        </is>
      </c>
      <c r="I99" s="9" t="inlineStr">
        <is>
          <t>D, I</t>
        </is>
      </c>
      <c r="J99" s="17" t="inlineStr">
        <is>
          <t>TC-41</t>
        </is>
      </c>
      <c r="K99" s="17" t="inlineStr">
        <is>
          <t>T-20, T-22</t>
        </is>
      </c>
      <c r="L99" s="17" t="inlineStr">
        <is>
          <t>feature/passenger-ui, feature/driver-ui</t>
        </is>
      </c>
      <c r="M99" s="15" t="inlineStr">
        <is>
          <t>Proposed</t>
        </is>
      </c>
      <c r="N99" s="16" t="inlineStr"/>
      <c r="O99" s="16" t="inlineStr"/>
      <c r="P99" s="4">
        <f>","&amp;SUBSTITUTE(F99," ","")&amp;","</f>
        <v/>
      </c>
    </row>
    <row r="100" ht="33" customHeight="1">
      <c r="A100" s="13" t="inlineStr">
        <is>
          <t>NFR-USA-04</t>
        </is>
      </c>
      <c r="B100" s="14" t="inlineStr">
        <is>
          <t>NFR</t>
        </is>
      </c>
      <c r="C100" s="14" t="inlineStr">
        <is>
          <t>USA</t>
        </is>
      </c>
      <c r="D100" s="13" t="inlineStr">
        <is>
          <t>Money shall be displayed as ৳ with exactly two decimals. The fare breakdown shall be one tap or click away.</t>
        </is>
      </c>
      <c r="E100" s="14" t="inlineStr">
        <is>
          <t>M</t>
        </is>
      </c>
      <c r="F100" s="14" t="inlineStr">
        <is>
          <t>5</t>
        </is>
      </c>
      <c r="G100" s="14" t="inlineStr">
        <is>
          <t>9.5</t>
        </is>
      </c>
      <c r="H100" s="13" t="inlineStr">
        <is>
          <t>"৳66.00" is shown for 6600 paisa.</t>
        </is>
      </c>
      <c r="I100" s="14" t="inlineStr">
        <is>
          <t>D, 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NFR-USA-05</t>
        </is>
      </c>
      <c r="B101" s="9" t="inlineStr">
        <is>
          <t>NFR</t>
        </is>
      </c>
      <c r="C101" s="9" t="inlineStr">
        <is>
          <t>USA</t>
        </is>
      </c>
      <c r="D101" s="17" t="inlineStr">
        <is>
          <t>The UI shall be usable on a 360 px-wide mobile viewport and via keyboard, with labelled form controls and sufficient contrast.</t>
        </is>
      </c>
      <c r="E101" s="9" t="inlineStr">
        <is>
          <t>S</t>
        </is>
      </c>
      <c r="F101" s="9" t="inlineStr">
        <is>
          <t>6</t>
        </is>
      </c>
      <c r="G101" s="9" t="inlineStr">
        <is>
          <t>9.5</t>
        </is>
      </c>
      <c r="H101" s="17" t="inlineStr">
        <is>
          <t>Manual check at mobile width; lint or axe shows no critical issues.</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NFR-USA-06</t>
        </is>
      </c>
      <c r="B102" s="14" t="inlineStr">
        <is>
          <t>NFR</t>
        </is>
      </c>
      <c r="C102" s="14" t="inlineStr">
        <is>
          <t>USA</t>
        </is>
      </c>
      <c r="D102" s="13" t="inlineStr">
        <is>
          <t>Destructive actions (cancel ride, cancel pool) shall ask for confirmation and state any fee.</t>
        </is>
      </c>
      <c r="E102" s="14" t="inlineStr">
        <is>
          <t>M</t>
        </is>
      </c>
      <c r="F102" s="14" t="inlineStr">
        <is>
          <t>3</t>
        </is>
      </c>
      <c r="G102" s="14" t="inlineStr">
        <is>
          <t>9.5</t>
        </is>
      </c>
      <c r="H102" s="13" t="inlineStr">
        <is>
          <t>Visual check.</t>
        </is>
      </c>
      <c r="I102" s="14" t="inlineStr">
        <is>
          <t>D, I</t>
        </is>
      </c>
      <c r="J102" s="13" t="inlineStr">
        <is>
          <t>TC-41</t>
        </is>
      </c>
      <c r="K102" s="13" t="inlineStr">
        <is>
          <t>T-20, T-22</t>
        </is>
      </c>
      <c r="L102" s="13" t="inlineStr">
        <is>
          <t>feature/passenger-ui, feature/driver-ui</t>
        </is>
      </c>
      <c r="M102" s="15" t="inlineStr">
        <is>
          <t>Proposed</t>
        </is>
      </c>
      <c r="N102" s="16" t="inlineStr"/>
      <c r="O102" s="16" t="inlineStr"/>
      <c r="P102" s="4">
        <f>","&amp;SUBSTITUTE(F102," ","")&amp;","</f>
        <v/>
      </c>
    </row>
    <row r="103" ht="63" customHeight="1">
      <c r="A103" s="17" t="inlineStr">
        <is>
          <t>NFR-POR-01</t>
        </is>
      </c>
      <c r="B103" s="9" t="inlineStr">
        <is>
          <t>NFR</t>
        </is>
      </c>
      <c r="C103" s="9" t="inlineStr">
        <is>
          <t>POR</t>
        </is>
      </c>
      <c r="D103" s="17" t="inlineStr">
        <is>
          <t>docker compose up, run on a clean machine with only Docker installed, shall start the database, API and web app, apply migrations and load seed data, with no manual steps beyond copying .env.example to .env.</t>
        </is>
      </c>
      <c r="E103" s="9" t="inlineStr">
        <is>
          <t>M</t>
        </is>
      </c>
      <c r="F103" s="9" t="inlineStr">
        <is>
          <t>6</t>
        </is>
      </c>
      <c r="G103" s="9" t="inlineStr">
        <is>
          <t>9.6</t>
        </is>
      </c>
      <c r="H103" s="17" t="inlineStr">
        <is>
          <t>Tested from a fresh clone. The reference personas can sign in.</t>
        </is>
      </c>
      <c r="I103" s="9" t="inlineStr">
        <is>
          <t>D</t>
        </is>
      </c>
      <c r="J103" s="17" t="inlineStr">
        <is>
          <t>TC-36</t>
        </is>
      </c>
      <c r="K103" s="17" t="inlineStr">
        <is>
          <t>T-05</t>
        </is>
      </c>
      <c r="L103" s="17" t="inlineStr">
        <is>
          <t>feature/project-setup</t>
        </is>
      </c>
      <c r="M103" s="15" t="inlineStr">
        <is>
          <t>Proposed</t>
        </is>
      </c>
      <c r="N103" s="16" t="inlineStr"/>
      <c r="O103" s="16" t="inlineStr"/>
      <c r="P103" s="4">
        <f>","&amp;SUBSTITUTE(F103," ","")&amp;","</f>
        <v/>
      </c>
    </row>
    <row r="104" ht="33" customHeight="1">
      <c r="A104" s="13" t="inlineStr">
        <is>
          <t>NFR-POR-02</t>
        </is>
      </c>
      <c r="B104" s="14" t="inlineStr">
        <is>
          <t>NFR</t>
        </is>
      </c>
      <c r="C104" s="14" t="inlineStr">
        <is>
          <t>POR</t>
        </is>
      </c>
      <c r="D104" s="13" t="inlineStr">
        <is>
          <t>All configuration (DB URL, secrets, rates, CORS origin, ports) shall be via environment variables with documented defaults.</t>
        </is>
      </c>
      <c r="E104" s="14" t="inlineStr">
        <is>
          <t>M</t>
        </is>
      </c>
      <c r="F104" s="14" t="inlineStr">
        <is>
          <t>6</t>
        </is>
      </c>
      <c r="G104" s="14" t="inlineStr">
        <is>
          <t>9.6</t>
        </is>
      </c>
      <c r="H104" s="13" t="inlineStr">
        <is>
          <t>.env.example lists every variable.</t>
        </is>
      </c>
      <c r="I104" s="14" t="inlineStr">
        <is>
          <t>I</t>
        </is>
      </c>
      <c r="J104" s="13" t="inlineStr"/>
      <c r="K104" s="13" t="inlineStr">
        <is>
          <t>T-05</t>
        </is>
      </c>
      <c r="L104" s="13" t="inlineStr">
        <is>
          <t>feature/project-setup</t>
        </is>
      </c>
      <c r="M104" s="15" t="inlineStr">
        <is>
          <t>Proposed</t>
        </is>
      </c>
      <c r="N104" s="16" t="inlineStr"/>
      <c r="O104" s="16" t="inlineStr"/>
      <c r="P104" s="4">
        <f>","&amp;SUBSTITUTE(F104," ","")&amp;","</f>
        <v/>
      </c>
    </row>
    <row r="105" ht="33" customHeight="1">
      <c r="A105" s="17" t="inlineStr">
        <is>
          <t>NFR-POR-03</t>
        </is>
      </c>
      <c r="B105" s="9" t="inlineStr">
        <is>
          <t>NFR</t>
        </is>
      </c>
      <c r="C105" s="9" t="inlineStr">
        <is>
          <t>POR</t>
        </is>
      </c>
      <c r="D105" s="17" t="inlineStr">
        <is>
          <t>Schema changes shall be made only through versioned, re-runnable migrations. Seeding shall be idempotent.</t>
        </is>
      </c>
      <c r="E105" s="9" t="inlineStr">
        <is>
          <t>M</t>
        </is>
      </c>
      <c r="F105" s="9" t="inlineStr">
        <is>
          <t>6</t>
        </is>
      </c>
      <c r="G105" s="9" t="inlineStr">
        <is>
          <t>9.6</t>
        </is>
      </c>
      <c r="H105" s="17" t="inlineStr">
        <is>
          <t>Running up twice causes no errors and creates no duplicate personas.</t>
        </is>
      </c>
      <c r="I105" s="9" t="inlineStr">
        <is>
          <t>D</t>
        </is>
      </c>
      <c r="J105" s="17" t="inlineStr">
        <is>
          <t>TC-37</t>
        </is>
      </c>
      <c r="K105" s="17" t="inlineStr">
        <is>
          <t>T-06, T-07</t>
        </is>
      </c>
      <c r="L105" s="17" t="inlineStr">
        <is>
          <t>feature/db-schema</t>
        </is>
      </c>
      <c r="M105" s="15" t="inlineStr">
        <is>
          <t>Proposed</t>
        </is>
      </c>
      <c r="N105" s="16" t="inlineStr"/>
      <c r="O105" s="16" t="inlineStr"/>
      <c r="P105" s="4">
        <f>","&amp;SUBSTITUTE(F105," ","")&amp;","</f>
        <v/>
      </c>
    </row>
    <row r="106" ht="48" customHeight="1">
      <c r="A106" s="13" t="inlineStr">
        <is>
          <t>NFR-POR-04</t>
        </is>
      </c>
      <c r="B106" s="14" t="inlineStr">
        <is>
          <t>NFR</t>
        </is>
      </c>
      <c r="C106" s="14" t="inlineStr">
        <is>
          <t>POR</t>
        </is>
      </c>
      <c r="D106" s="13" t="inlineStr">
        <is>
          <t>The system shall be deployed publicly on free tiers, or, if that is not possible, a reproducible Docker deployment shall be documented along with the constraint.</t>
        </is>
      </c>
      <c r="E106" s="14" t="inlineStr">
        <is>
          <t>S</t>
        </is>
      </c>
      <c r="F106" s="14" t="inlineStr">
        <is>
          <t>6</t>
        </is>
      </c>
      <c r="G106" s="14" t="inlineStr">
        <is>
          <t>9.6</t>
        </is>
      </c>
      <c r="H106" s="13" t="inlineStr">
        <is>
          <t>A URL is in the README, or a documented fallback.</t>
        </is>
      </c>
      <c r="I106" s="14" t="inlineStr">
        <is>
          <t>D</t>
        </is>
      </c>
      <c r="J106" s="13" t="inlineStr"/>
      <c r="K106" s="13" t="inlineStr">
        <is>
          <t>T-25</t>
        </is>
      </c>
      <c r="L106" s="13" t="inlineStr">
        <is>
          <t>pre-release</t>
        </is>
      </c>
      <c r="M106" s="15" t="inlineStr">
        <is>
          <t>Proposed</t>
        </is>
      </c>
      <c r="N106" s="16" t="inlineStr"/>
      <c r="O106" s="16" t="inlineStr"/>
      <c r="P106" s="4">
        <f>","&amp;SUBSTITUTE(F106," ","")&amp;","</f>
        <v/>
      </c>
    </row>
    <row r="107" ht="48" customHeight="1">
      <c r="A107" s="17" t="inlineStr">
        <is>
          <t>NFR-OBS-01</t>
        </is>
      </c>
      <c r="B107" s="9" t="inlineStr">
        <is>
          <t>NFR</t>
        </is>
      </c>
      <c r="C107" s="9" t="inlineStr">
        <is>
          <t>OBS</t>
        </is>
      </c>
      <c r="D107" s="17" t="inlineStr">
        <is>
          <t>The API shall write structured (JSON) logs with timestamp, level, requestId, user id (when present), method, route, status code and latency.</t>
        </is>
      </c>
      <c r="E107" s="9" t="inlineStr">
        <is>
          <t>M</t>
        </is>
      </c>
      <c r="F107" s="9" t="inlineStr">
        <is>
          <t>6</t>
        </is>
      </c>
      <c r="G107" s="9" t="inlineStr">
        <is>
          <t>9.7</t>
        </is>
      </c>
      <c r="H107" s="17" t="inlineStr">
        <is>
          <t>Log inspection.</t>
        </is>
      </c>
      <c r="I107" s="9" t="inlineStr">
        <is>
          <t>I</t>
        </is>
      </c>
      <c r="J107" s="17" t="inlineStr"/>
      <c r="K107" s="17" t="inlineStr">
        <is>
          <t>T-04</t>
        </is>
      </c>
      <c r="L107" s="17" t="inlineStr">
        <is>
          <t>feature/project-setup</t>
        </is>
      </c>
      <c r="M107" s="15" t="inlineStr">
        <is>
          <t>Proposed</t>
        </is>
      </c>
      <c r="N107" s="16" t="inlineStr"/>
      <c r="O107" s="16" t="inlineStr"/>
      <c r="P107" s="4">
        <f>","&amp;SUBSTITUTE(F107," ","")&amp;","</f>
        <v/>
      </c>
    </row>
    <row r="108" ht="33" customHeight="1">
      <c r="A108" s="13" t="inlineStr">
        <is>
          <t>NFR-OBS-02</t>
        </is>
      </c>
      <c r="B108" s="14" t="inlineStr">
        <is>
          <t>NFR</t>
        </is>
      </c>
      <c r="C108" s="14" t="inlineStr">
        <is>
          <t>OBS</t>
        </is>
      </c>
      <c r="D108" s="13" t="inlineStr">
        <is>
          <t>Every successful state transition shall be logged at INFO and every rejected one at WARN, including the error code.</t>
        </is>
      </c>
      <c r="E108" s="14" t="inlineStr">
        <is>
          <t>S</t>
        </is>
      </c>
      <c r="F108" s="14" t="inlineStr">
        <is>
          <t>6</t>
        </is>
      </c>
      <c r="G108" s="14" t="inlineStr">
        <is>
          <t>9.7</t>
        </is>
      </c>
      <c r="H108" s="13" t="inlineStr">
        <is>
          <t>Log inspection during tests.</t>
        </is>
      </c>
      <c r="I108" s="14" t="inlineStr">
        <is>
          <t>I</t>
        </is>
      </c>
      <c r="J108" s="13" t="inlineStr"/>
      <c r="K108" s="13" t="inlineStr">
        <is>
          <t>T-04</t>
        </is>
      </c>
      <c r="L108" s="13" t="inlineStr">
        <is>
          <t>feature/project-setup</t>
        </is>
      </c>
      <c r="M108" s="15" t="inlineStr">
        <is>
          <t>Proposed</t>
        </is>
      </c>
      <c r="N108" s="16" t="inlineStr"/>
      <c r="O108" s="16" t="inlineStr"/>
      <c r="P108" s="4">
        <f>","&amp;SUBSTITUTE(F108," ","")&amp;","</f>
        <v/>
      </c>
    </row>
    <row r="109" ht="33" customHeight="1">
      <c r="A109" s="17" t="inlineStr">
        <is>
          <t>NFR-OBS-03</t>
        </is>
      </c>
      <c r="B109" s="9" t="inlineStr">
        <is>
          <t>NFR</t>
        </is>
      </c>
      <c r="C109" s="9" t="inlineStr">
        <is>
          <t>OBS</t>
        </is>
      </c>
      <c r="D109" s="17" t="inlineStr">
        <is>
          <t>Logs shall never contain passwords, tokens or full session cookies.</t>
        </is>
      </c>
      <c r="E109" s="9" t="inlineStr">
        <is>
          <t>M</t>
        </is>
      </c>
      <c r="F109" s="9" t="inlineStr">
        <is>
          <t>6</t>
        </is>
      </c>
      <c r="G109" s="9" t="inlineStr">
        <is>
          <t>9.7</t>
        </is>
      </c>
      <c r="H109" s="17" t="inlineStr">
        <is>
          <t>Inspection.</t>
        </is>
      </c>
      <c r="I109" s="9" t="inlineStr">
        <is>
          <t>I</t>
        </is>
      </c>
      <c r="J109" s="17" t="inlineStr"/>
      <c r="K109" s="17" t="inlineStr">
        <is>
          <t>T-04</t>
        </is>
      </c>
      <c r="L109" s="17" t="inlineStr">
        <is>
          <t>feature/project-setup</t>
        </is>
      </c>
      <c r="M109" s="15" t="inlineStr">
        <is>
          <t>Proposed</t>
        </is>
      </c>
      <c r="N109" s="16" t="inlineStr"/>
      <c r="O109" s="16" t="inlineStr"/>
      <c r="P109" s="4">
        <f>","&amp;SUBSTITUTE(F109," ","")&amp;","</f>
        <v/>
      </c>
    </row>
    <row r="110" ht="48" customHeight="1">
      <c r="A110" s="13" t="inlineStr">
        <is>
          <t>NFR-MNT-01</t>
        </is>
      </c>
      <c r="B110" s="14" t="inlineStr">
        <is>
          <t>NFR</t>
        </is>
      </c>
      <c r="C110" s="14" t="inlineStr">
        <is>
          <t>MNT</t>
        </is>
      </c>
      <c r="D110" s="13" t="inlineStr">
        <is>
          <t>Business rules (matching, capacity, transitions, fares, cancellation) shall live in a domain or service layer, not in route handlers or UI components.</t>
        </is>
      </c>
      <c r="E110" s="14" t="inlineStr">
        <is>
          <t>M</t>
        </is>
      </c>
      <c r="F110" s="14" t="inlineStr">
        <is>
          <t>6</t>
        </is>
      </c>
      <c r="G110" s="14" t="inlineStr">
        <is>
          <t>9.8</t>
        </is>
      </c>
      <c r="H110" s="13" t="inlineStr">
        <is>
          <t>Code review: controllers contain no rule logic.</t>
        </is>
      </c>
      <c r="I110" s="14" t="inlineStr">
        <is>
          <t>I</t>
        </is>
      </c>
      <c r="J110" s="13" t="inlineStr"/>
      <c r="K110" s="13" t="inlineStr">
        <is>
          <t>T-03</t>
        </is>
      </c>
      <c r="L110" s="13" t="inlineStr">
        <is>
          <t>feature/project-setup</t>
        </is>
      </c>
      <c r="M110" s="15" t="inlineStr">
        <is>
          <t>Proposed</t>
        </is>
      </c>
      <c r="N110" s="16" t="inlineStr"/>
      <c r="O110" s="16" t="inlineStr"/>
      <c r="P110" s="4">
        <f>","&amp;SUBSTITUTE(F110," ","")&amp;","</f>
        <v/>
      </c>
    </row>
    <row r="111" ht="33" customHeight="1">
      <c r="A111" s="17" t="inlineStr">
        <is>
          <t>NFR-MNT-02</t>
        </is>
      </c>
      <c r="B111" s="9" t="inlineStr">
        <is>
          <t>NFR</t>
        </is>
      </c>
      <c r="C111" s="9" t="inlineStr">
        <is>
          <t>MNT</t>
        </is>
      </c>
      <c r="D111" s="17" t="inlineStr">
        <is>
          <t>Fare calculation and transition validation shall be pure functions with unit tests.</t>
        </is>
      </c>
      <c r="E111" s="9" t="inlineStr">
        <is>
          <t>M</t>
        </is>
      </c>
      <c r="F111" s="9" t="inlineStr">
        <is>
          <t>5, 12</t>
        </is>
      </c>
      <c r="G111" s="9" t="inlineStr">
        <is>
          <t>9.8</t>
        </is>
      </c>
      <c r="H111" s="17" t="inlineStr">
        <is>
          <t>They are unit-tested with no DB.</t>
        </is>
      </c>
      <c r="I111" s="9" t="inlineStr">
        <is>
          <t>T</t>
        </is>
      </c>
      <c r="J111" s="17" t="inlineStr">
        <is>
          <t>TC-08</t>
        </is>
      </c>
      <c r="K111" s="17" t="inlineStr">
        <is>
          <t>T-10, T-12</t>
        </is>
      </c>
      <c r="L111" s="17" t="inlineStr">
        <is>
          <t>feature/zones-fares, feature/ride-request</t>
        </is>
      </c>
      <c r="M111" s="15" t="inlineStr">
        <is>
          <t>Proposed</t>
        </is>
      </c>
      <c r="N111" s="16" t="inlineStr"/>
      <c r="O111" s="16" t="inlineStr"/>
      <c r="P111" s="4">
        <f>","&amp;SUBSTITUTE(F111," ","")&amp;","</f>
        <v/>
      </c>
    </row>
    <row r="112" ht="48" customHeight="1">
      <c r="A112" s="13" t="inlineStr">
        <is>
          <t>NFR-MNT-03</t>
        </is>
      </c>
      <c r="B112" s="14" t="inlineStr">
        <is>
          <t>NFR</t>
        </is>
      </c>
      <c r="C112" s="14" t="inlineStr">
        <is>
          <t>MNT</t>
        </is>
      </c>
      <c r="D112" s="13" t="inlineStr">
        <is>
          <t>The codebase shall use TypeScript (or a documented alternative), a linter and a formatter, and follow a documented project structure.</t>
        </is>
      </c>
      <c r="E112" s="14" t="inlineStr">
        <is>
          <t>S</t>
        </is>
      </c>
      <c r="F112" s="14" t="inlineStr">
        <is>
          <t>6</t>
        </is>
      </c>
      <c r="G112" s="14" t="inlineStr">
        <is>
          <t>9.8</t>
        </is>
      </c>
      <c r="H112" s="13" t="inlineStr">
        <is>
          <t>CI or a local lint run passes.</t>
        </is>
      </c>
      <c r="I112" s="14" t="inlineStr">
        <is>
          <t>I</t>
        </is>
      </c>
      <c r="J112" s="13" t="inlineStr"/>
      <c r="K112" s="13" t="inlineStr">
        <is>
          <t>T-03</t>
        </is>
      </c>
      <c r="L112" s="13" t="inlineStr">
        <is>
          <t>feature/project-setup</t>
        </is>
      </c>
      <c r="M112" s="15" t="inlineStr">
        <is>
          <t>Proposed</t>
        </is>
      </c>
      <c r="N112" s="16" t="inlineStr"/>
      <c r="O112" s="16" t="inlineStr"/>
      <c r="P112" s="4">
        <f>","&amp;SUBSTITUTE(F112," ","")&amp;","</f>
        <v/>
      </c>
    </row>
    <row r="113" ht="33" customHeight="1">
      <c r="A113" s="17" t="inlineStr">
        <is>
          <t>NFR-MNT-04</t>
        </is>
      </c>
      <c r="B113" s="9" t="inlineStr">
        <is>
          <t>NFR</t>
        </is>
      </c>
      <c r="C113" s="9" t="inlineStr">
        <is>
          <t>MNT</t>
        </is>
      </c>
      <c r="D113" s="17" t="inlineStr">
        <is>
          <t>Automated tests shall run with one documented command, locally and in Docker.</t>
        </is>
      </c>
      <c r="E113" s="9" t="inlineStr">
        <is>
          <t>M</t>
        </is>
      </c>
      <c r="F113" s="9" t="inlineStr">
        <is>
          <t>12</t>
        </is>
      </c>
      <c r="G113" s="9" t="inlineStr">
        <is>
          <t>9.8</t>
        </is>
      </c>
      <c r="H113" s="17" t="inlineStr">
        <is>
          <t>The README states the command, and it passes.</t>
        </is>
      </c>
      <c r="I113" s="9" t="inlineStr">
        <is>
          <t>D</t>
        </is>
      </c>
      <c r="J113" s="17" t="inlineStr"/>
      <c r="K113" s="17" t="inlineStr">
        <is>
          <t>T-23</t>
        </is>
      </c>
      <c r="L113" s="17" t="inlineStr">
        <is>
          <t>pre-release</t>
        </is>
      </c>
      <c r="M113" s="15" t="inlineStr">
        <is>
          <t>Proposed</t>
        </is>
      </c>
      <c r="N113" s="16" t="inlineStr"/>
      <c r="O113" s="16" t="inlineStr"/>
      <c r="P113" s="4">
        <f>","&amp;SUBSTITUTE(F113," ","")&amp;","</f>
        <v/>
      </c>
    </row>
    <row r="114" ht="33" customHeight="1">
      <c r="A114" s="13" t="inlineStr">
        <is>
          <t>DC-01</t>
        </is>
      </c>
      <c r="B114" s="14" t="inlineStr">
        <is>
          <t>DC</t>
        </is>
      </c>
      <c r="C114" s="14" t="inlineStr">
        <is>
          <t>CONSTRAINT</t>
        </is>
      </c>
      <c r="D114" s="13" t="inlineStr">
        <is>
          <t>The frontend shall be React or Next.js. Next.js App Router is recommended.</t>
        </is>
      </c>
      <c r="E114" s="14" t="inlineStr">
        <is>
          <t>M</t>
        </is>
      </c>
      <c r="F114" s="14" t="inlineStr">
        <is>
          <t>6</t>
        </is>
      </c>
      <c r="G114" s="14" t="inlineStr">
        <is>
          <t>10</t>
        </is>
      </c>
      <c r="H114" s="13" t="inlineStr">
        <is>
          <t>Inspection of repository, README and architecture docs.</t>
        </is>
      </c>
      <c r="I114" s="14" t="inlineStr">
        <is>
          <t>I</t>
        </is>
      </c>
      <c r="J114" s="13" t="inlineStr"/>
      <c r="K114" s="13" t="inlineStr">
        <is>
          <t>T-02, T-03</t>
        </is>
      </c>
      <c r="L114" s="13" t="inlineStr">
        <is>
          <t>feature/architecture-docs, feature/project-setup</t>
        </is>
      </c>
      <c r="M114" s="15" t="inlineStr">
        <is>
          <t>Proposed</t>
        </is>
      </c>
      <c r="N114" s="16" t="inlineStr"/>
      <c r="O114" s="16" t="inlineStr"/>
      <c r="P114" s="4">
        <f>","&amp;SUBSTITUTE(F114," ","")&amp;","</f>
        <v/>
      </c>
    </row>
    <row r="115" ht="33" customHeight="1">
      <c r="A115" s="17" t="inlineStr">
        <is>
          <t>DC-02</t>
        </is>
      </c>
      <c r="B115" s="9" t="inlineStr">
        <is>
          <t>DC</t>
        </is>
      </c>
      <c r="C115" s="9" t="inlineStr">
        <is>
          <t>CONSTRAINT</t>
        </is>
      </c>
      <c r="D115" s="17" t="inlineStr">
        <is>
          <t>The backend shall be Node.js. The framework choice (Express, NestJS, Fastify, …) shall be justified in the README.</t>
        </is>
      </c>
      <c r="E115" s="9" t="inlineStr">
        <is>
          <t>M</t>
        </is>
      </c>
      <c r="F115" s="9" t="inlineStr">
        <is>
          <t>6, 7</t>
        </is>
      </c>
      <c r="G115" s="9" t="inlineStr">
        <is>
          <t>10</t>
        </is>
      </c>
      <c r="H115" s="17" t="inlineStr">
        <is>
          <t>Inspection of repository, README and architecture docs.</t>
        </is>
      </c>
      <c r="I115" s="9" t="inlineStr">
        <is>
          <t>I</t>
        </is>
      </c>
      <c r="J115" s="17" t="inlineStr"/>
      <c r="K115" s="17" t="inlineStr">
        <is>
          <t>T-02, T-03</t>
        </is>
      </c>
      <c r="L115" s="17" t="inlineStr">
        <is>
          <t>feature/architecture-docs, feature/project-setup</t>
        </is>
      </c>
      <c r="M115" s="15" t="inlineStr">
        <is>
          <t>Proposed</t>
        </is>
      </c>
      <c r="N115" s="16" t="inlineStr"/>
      <c r="O115" s="16" t="inlineStr"/>
      <c r="P115" s="4">
        <f>","&amp;SUBSTITUTE(F115," ","")&amp;","</f>
        <v/>
      </c>
    </row>
    <row r="116" ht="33" customHeight="1">
      <c r="A116" s="13" t="inlineStr">
        <is>
          <t>DC-03</t>
        </is>
      </c>
      <c r="B116" s="14" t="inlineStr">
        <is>
          <t>DC</t>
        </is>
      </c>
      <c r="C116" s="14" t="inlineStr">
        <is>
          <t>CONSTRAINT</t>
        </is>
      </c>
      <c r="D116" s="13" t="inlineStr">
        <is>
          <t>The database shall be relational, chosen and justified by the developer. PostgreSQL is recommended (D-13).</t>
        </is>
      </c>
      <c r="E116" s="14" t="inlineStr">
        <is>
          <t>M</t>
        </is>
      </c>
      <c r="F116" s="14" t="inlineStr">
        <is>
          <t>6</t>
        </is>
      </c>
      <c r="G116" s="14" t="inlineStr">
        <is>
          <t>10</t>
        </is>
      </c>
      <c r="H116" s="13" t="inlineStr">
        <is>
          <t>Inspection of repository, README and architecture docs.</t>
        </is>
      </c>
      <c r="I116" s="14" t="inlineStr">
        <is>
          <t>I</t>
        </is>
      </c>
      <c r="J116" s="13" t="inlineStr"/>
      <c r="K116" s="13" t="inlineStr">
        <is>
          <t>T-02, T-05</t>
        </is>
      </c>
      <c r="L116" s="13" t="inlineStr">
        <is>
          <t>feature/architecture-docs, feature/project-setup</t>
        </is>
      </c>
      <c r="M116" s="15" t="inlineStr">
        <is>
          <t>Proposed</t>
        </is>
      </c>
      <c r="N116" s="16" t="inlineStr"/>
      <c r="O116" s="16" t="inlineStr"/>
      <c r="P116" s="4">
        <f>","&amp;SUBSTITUTE(F116," ","")&amp;","</f>
        <v/>
      </c>
    </row>
    <row r="117" ht="18" customHeight="1">
      <c r="A117" s="17" t="inlineStr">
        <is>
          <t>DC-04</t>
        </is>
      </c>
      <c r="B117" s="9" t="inlineStr">
        <is>
          <t>DC</t>
        </is>
      </c>
      <c r="C117" s="9" t="inlineStr">
        <is>
          <t>CONSTRAINT</t>
        </is>
      </c>
      <c r="D117" s="17" t="inlineStr">
        <is>
          <t>Only free or free-tier services shall be used.</t>
        </is>
      </c>
      <c r="E117" s="9" t="inlineStr">
        <is>
          <t>M</t>
        </is>
      </c>
      <c r="F117" s="9" t="inlineStr">
        <is>
          <t>6, 16</t>
        </is>
      </c>
      <c r="G117" s="9" t="inlineStr">
        <is>
          <t>10</t>
        </is>
      </c>
      <c r="H117" s="17" t="inlineStr">
        <is>
          <t>Inspection of repository, README and architecture docs.</t>
        </is>
      </c>
      <c r="I117" s="9" t="inlineStr">
        <is>
          <t>I</t>
        </is>
      </c>
      <c r="J117" s="17" t="inlineStr"/>
      <c r="K117" s="17" t="inlineStr">
        <is>
          <t>T-25</t>
        </is>
      </c>
      <c r="L117" s="17" t="inlineStr">
        <is>
          <t>pre-release</t>
        </is>
      </c>
      <c r="M117" s="15" t="inlineStr">
        <is>
          <t>Proposed</t>
        </is>
      </c>
      <c r="N117" s="16" t="inlineStr"/>
      <c r="O117" s="16" t="inlineStr"/>
      <c r="P117" s="4">
        <f>","&amp;SUBSTITUTE(F117," ","")&amp;","</f>
        <v/>
      </c>
    </row>
    <row r="118" ht="48" customHeight="1">
      <c r="A118" s="13" t="inlineStr">
        <is>
          <t>DC-05</t>
        </is>
      </c>
      <c r="B118" s="14" t="inlineStr">
        <is>
          <t>DC</t>
        </is>
      </c>
      <c r="C118" s="14" t="inlineStr">
        <is>
          <t>CONSTRAINT</t>
        </is>
      </c>
      <c r="D118" s="13" t="inlineStr">
        <is>
          <t>Microservices, Kafka, Kubernetes, Redis or queues shall not be introduced without a documented, concrete need. The MVP is one API, one web app and one DB.</t>
        </is>
      </c>
      <c r="E118" s="14" t="inlineStr">
        <is>
          <t>M</t>
        </is>
      </c>
      <c r="F118" s="14" t="inlineStr">
        <is>
          <t>9</t>
        </is>
      </c>
      <c r="G118" s="14" t="inlineStr">
        <is>
          <t>10</t>
        </is>
      </c>
      <c r="H118" s="13" t="inlineStr">
        <is>
          <t>Inspection of repository, README and architecture docs.</t>
        </is>
      </c>
      <c r="I118" s="14" t="inlineStr">
        <is>
          <t>I</t>
        </is>
      </c>
      <c r="J118" s="13" t="inlineStr"/>
      <c r="K118" s="13" t="inlineStr">
        <is>
          <t>T-02</t>
        </is>
      </c>
      <c r="L118" s="13" t="inlineStr">
        <is>
          <t>feature/architecture-docs</t>
        </is>
      </c>
      <c r="M118" s="15" t="inlineStr">
        <is>
          <t>Proposed</t>
        </is>
      </c>
      <c r="N118" s="16" t="inlineStr"/>
      <c r="O118" s="16" t="inlineStr"/>
      <c r="P118" s="4">
        <f>","&amp;SUBSTITUTE(F118," ","")&amp;","</f>
        <v/>
      </c>
    </row>
    <row r="119" ht="33" customHeight="1">
      <c r="A119" s="17" t="inlineStr">
        <is>
          <t>DC-06</t>
        </is>
      </c>
      <c r="B119" s="9" t="inlineStr">
        <is>
          <t>DC</t>
        </is>
      </c>
      <c r="C119" s="9" t="inlineStr">
        <is>
          <t>CONSTRAINT</t>
        </is>
      </c>
      <c r="D119" s="17" t="inlineStr">
        <is>
          <t>No real map, routing or payment API is required. The system shall work fully offline from third-party services.</t>
        </is>
      </c>
      <c r="E119" s="9" t="inlineStr">
        <is>
          <t>M</t>
        </is>
      </c>
      <c r="F119" s="9" t="inlineStr">
        <is>
          <t>4, 5</t>
        </is>
      </c>
      <c r="G119" s="9" t="inlineStr">
        <is>
          <t>10</t>
        </is>
      </c>
      <c r="H119" s="17" t="inlineStr">
        <is>
          <t>Inspection of repository, README and architecture docs.</t>
        </is>
      </c>
      <c r="I119" s="9" t="inlineStr">
        <is>
          <t>I</t>
        </is>
      </c>
      <c r="J119" s="17" t="inlineStr"/>
      <c r="K119" s="17" t="inlineStr">
        <is>
          <t>T-05</t>
        </is>
      </c>
      <c r="L119" s="17" t="inlineStr">
        <is>
          <t>feature/project-setup</t>
        </is>
      </c>
      <c r="M119" s="15" t="inlineStr">
        <is>
          <t>Proposed</t>
        </is>
      </c>
      <c r="N119" s="16" t="inlineStr"/>
      <c r="O119" s="16" t="inlineStr"/>
      <c r="P119" s="4">
        <f>","&amp;SUBSTITUTE(F119," ","")&amp;","</f>
        <v/>
      </c>
    </row>
    <row r="120" ht="63" customHeight="1">
      <c r="A120" s="13" t="inlineStr">
        <is>
          <t>DC-07</t>
        </is>
      </c>
      <c r="B120" s="14" t="inlineStr">
        <is>
          <t>DC</t>
        </is>
      </c>
      <c r="C120" s="14" t="inlineStr">
        <is>
          <t>CONSTRAINT</t>
        </is>
      </c>
      <c r="D120" s="13" t="inlineStr">
        <is>
          <t>For every non-mandated choice (DB, ORM, auth, styling, tests, hosting), the README shall state: the choice, the realistic alternatives, why it fits a ride-pooling MVP, and the conditions that would prompt a change.</t>
        </is>
      </c>
      <c r="E120" s="14" t="inlineStr">
        <is>
          <t>M</t>
        </is>
      </c>
      <c r="F120" s="14" t="inlineStr">
        <is>
          <t>7</t>
        </is>
      </c>
      <c r="G120" s="14" t="inlineStr">
        <is>
          <t>10</t>
        </is>
      </c>
      <c r="H120" s="13" t="inlineStr">
        <is>
          <t>Inspection of repository, README and architecture docs.</t>
        </is>
      </c>
      <c r="I120" s="14" t="inlineStr">
        <is>
          <t>I</t>
        </is>
      </c>
      <c r="J120" s="13" t="inlineStr"/>
      <c r="K120" s="13" t="inlineStr">
        <is>
          <t>T-02</t>
        </is>
      </c>
      <c r="L120" s="13" t="inlineStr">
        <is>
          <t>feature/architecture-docs</t>
        </is>
      </c>
      <c r="M120" s="15" t="inlineStr">
        <is>
          <t>Proposed</t>
        </is>
      </c>
      <c r="N120" s="16" t="inlineStr"/>
      <c r="O120" s="16" t="inlineStr"/>
      <c r="P120" s="4">
        <f>","&amp;SUBSTITUTE(F120," ","")&amp;","</f>
        <v/>
      </c>
    </row>
    <row r="121" ht="33" customHeight="1">
      <c r="A121" s="17" t="inlineStr">
        <is>
          <t>DR-01</t>
        </is>
      </c>
      <c r="B121" s="9" t="inlineStr">
        <is>
          <t>DR</t>
        </is>
      </c>
      <c r="C121" s="9" t="inlineStr">
        <is>
          <t>DELIVERY</t>
        </is>
      </c>
      <c r="D121" s="17" t="inlineStr">
        <is>
          <t>The repository shall have long-lived branches master, pre-release and release/v1.0.0.</t>
        </is>
      </c>
      <c r="E121" s="9" t="inlineStr">
        <is>
          <t>M</t>
        </is>
      </c>
      <c r="F121" s="9" t="inlineStr">
        <is>
          <t>10</t>
        </is>
      </c>
      <c r="G121" s="9" t="inlineStr">
        <is>
          <t>11</t>
        </is>
      </c>
      <c r="H121" s="17" t="inlineStr">
        <is>
          <t>The branches exist on the remote.</t>
        </is>
      </c>
      <c r="I121" s="9" t="inlineStr">
        <is>
          <t>I</t>
        </is>
      </c>
      <c r="J121" s="17" t="inlineStr"/>
      <c r="K121" s="17" t="inlineStr">
        <is>
          <t>T-27</t>
        </is>
      </c>
      <c r="L121" s="17" t="inlineStr">
        <is>
          <t>release/v1.0.0</t>
        </is>
      </c>
      <c r="M121" s="15" t="inlineStr">
        <is>
          <t>Proposed</t>
        </is>
      </c>
      <c r="N121" s="16" t="inlineStr"/>
      <c r="O121" s="16" t="inlineStr"/>
      <c r="P121" s="4">
        <f>","&amp;SUBSTITUTE(F121," ","")&amp;","</f>
        <v/>
      </c>
    </row>
    <row r="122" ht="78" customHeight="1">
      <c r="A122" s="13" t="inlineStr">
        <is>
          <t>DR-02</t>
        </is>
      </c>
      <c r="B122" s="14" t="inlineStr">
        <is>
          <t>DR</t>
        </is>
      </c>
      <c r="C122" s="14" t="inlineStr">
        <is>
          <t>DELIVERY</t>
        </is>
      </c>
      <c r="D122"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2" s="14" t="inlineStr">
        <is>
          <t>M</t>
        </is>
      </c>
      <c r="F122" s="14" t="inlineStr">
        <is>
          <t>10, 16</t>
        </is>
      </c>
      <c r="G122" s="14" t="inlineStr">
        <is>
          <t>11</t>
        </is>
      </c>
      <c r="H122" s="13" t="inlineStr">
        <is>
          <t>The git graph shows merges from feature branches.</t>
        </is>
      </c>
      <c r="I122" s="14" t="inlineStr">
        <is>
          <t>I</t>
        </is>
      </c>
      <c r="J122" s="13" t="inlineStr"/>
      <c r="K122" s="13" t="inlineStr">
        <is>
          <t>T-27</t>
        </is>
      </c>
      <c r="L122" s="13" t="inlineStr">
        <is>
          <t>release/v1.0.0</t>
        </is>
      </c>
      <c r="M122" s="15" t="inlineStr">
        <is>
          <t>Proposed</t>
        </is>
      </c>
      <c r="N122" s="16" t="inlineStr"/>
      <c r="O122" s="16" t="inlineStr"/>
      <c r="P122" s="4">
        <f>","&amp;SUBSTITUTE(F122," ","")&amp;","</f>
        <v/>
      </c>
    </row>
    <row r="123" ht="63" customHeight="1">
      <c r="A123" s="17" t="inlineStr">
        <is>
          <t>DR-03</t>
        </is>
      </c>
      <c r="B123" s="9" t="inlineStr">
        <is>
          <t>DR</t>
        </is>
      </c>
      <c r="C123" s="9" t="inlineStr">
        <is>
          <t>DELIVERY</t>
        </is>
      </c>
      <c r="D123" s="17" t="inlineStr">
        <is>
          <t>Commits shall follow &lt;type&gt;(&lt;scope&gt;): &lt;description&gt; with types feat, fix, refactor, test, docs, chore, build. Each commit is one logical change. There shall be no vague messages and no micro-commit spam.</t>
        </is>
      </c>
      <c r="E123" s="9" t="inlineStr">
        <is>
          <t>M</t>
        </is>
      </c>
      <c r="F123" s="9" t="inlineStr">
        <is>
          <t>11</t>
        </is>
      </c>
      <c r="G123" s="9" t="inlineStr">
        <is>
          <t>11</t>
        </is>
      </c>
      <c r="H123" s="17" t="inlineStr">
        <is>
          <t>Log review.</t>
        </is>
      </c>
      <c r="I123" s="9" t="inlineStr">
        <is>
          <t>I</t>
        </is>
      </c>
      <c r="J123" s="17" t="inlineStr"/>
      <c r="K123" s="17" t="inlineStr">
        <is>
          <t>T-27</t>
        </is>
      </c>
      <c r="L123" s="17" t="inlineStr">
        <is>
          <t>release/v1.0.0</t>
        </is>
      </c>
      <c r="M123" s="15" t="inlineStr">
        <is>
          <t>Proposed</t>
        </is>
      </c>
      <c r="N123" s="16" t="inlineStr"/>
      <c r="O123" s="16" t="inlineStr"/>
      <c r="P123" s="4">
        <f>","&amp;SUBSTITUTE(F123," ","")&amp;","</f>
        <v/>
      </c>
    </row>
    <row r="124" ht="33" customHeight="1">
      <c r="A124" s="13" t="inlineStr">
        <is>
          <t>DR-04</t>
        </is>
      </c>
      <c r="B124" s="14" t="inlineStr">
        <is>
          <t>DR</t>
        </is>
      </c>
      <c r="C124" s="14" t="inlineStr">
        <is>
          <t>DELIVERY</t>
        </is>
      </c>
      <c r="D124" s="13" t="inlineStr">
        <is>
          <t>The history shall show incremental progress. There shall be no single giant commit containing the finished system.</t>
        </is>
      </c>
      <c r="E124" s="14" t="inlineStr">
        <is>
          <t>M</t>
        </is>
      </c>
      <c r="F124" s="14" t="inlineStr">
        <is>
          <t>10, 16, 18</t>
        </is>
      </c>
      <c r="G124" s="14" t="inlineStr">
        <is>
          <t>11</t>
        </is>
      </c>
      <c r="H124" s="13" t="inlineStr">
        <is>
          <t>Log review.</t>
        </is>
      </c>
      <c r="I124" s="14" t="inlineStr">
        <is>
          <t>I</t>
        </is>
      </c>
      <c r="J124" s="13" t="inlineStr"/>
      <c r="K124" s="13" t="inlineStr">
        <is>
          <t>T-27</t>
        </is>
      </c>
      <c r="L124" s="13" t="inlineStr">
        <is>
          <t>release/v1.0.0</t>
        </is>
      </c>
      <c r="M124" s="15" t="inlineStr">
        <is>
          <t>Proposed</t>
        </is>
      </c>
      <c r="N124" s="16" t="inlineStr"/>
      <c r="O124" s="16" t="inlineStr"/>
      <c r="P124" s="4">
        <f>","&amp;SUBSTITUTE(F124," ","")&amp;","</f>
        <v/>
      </c>
    </row>
    <row r="125" ht="108" customHeight="1">
      <c r="A125" s="17" t="inlineStr">
        <is>
          <t>DR-05</t>
        </is>
      </c>
      <c r="B125" s="9" t="inlineStr">
        <is>
          <t>DR</t>
        </is>
      </c>
      <c r="C125" s="9" t="inlineStr">
        <is>
          <t>DELIVERY</t>
        </is>
      </c>
      <c r="D125"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5" s="9" t="inlineStr">
        <is>
          <t>M</t>
        </is>
      </c>
      <c r="F125" s="9" t="inlineStr">
        <is>
          <t>12</t>
        </is>
      </c>
      <c r="G125" s="9" t="inlineStr">
        <is>
          <t>11</t>
        </is>
      </c>
      <c r="H125" s="17" t="inlineStr">
        <is>
          <t>Checklist review.</t>
        </is>
      </c>
      <c r="I125" s="9" t="inlineStr">
        <is>
          <t>I</t>
        </is>
      </c>
      <c r="J125" s="17" t="inlineStr"/>
      <c r="K125" s="17" t="inlineStr">
        <is>
          <t>T-24</t>
        </is>
      </c>
      <c r="L125" s="17" t="inlineStr">
        <is>
          <t>pre-release</t>
        </is>
      </c>
      <c r="M125" s="15" t="inlineStr">
        <is>
          <t>Proposed</t>
        </is>
      </c>
      <c r="N125" s="16" t="inlineStr"/>
      <c r="O125" s="16" t="inlineStr"/>
      <c r="P125" s="4">
        <f>","&amp;SUBSTITUTE(F125," ","")&amp;","</f>
        <v/>
      </c>
    </row>
    <row r="126" ht="48" customHeight="1">
      <c r="A126" s="13" t="inlineStr">
        <is>
          <t>DR-06</t>
        </is>
      </c>
      <c r="B126" s="14" t="inlineStr">
        <is>
          <t>DR</t>
        </is>
      </c>
      <c r="C126" s="14" t="inlineStr">
        <is>
          <t>DELIVERY</t>
        </is>
      </c>
      <c r="D126" s="13" t="inlineStr">
        <is>
          <t>An architecture diagram (at minimum Browser → Next.js/React → Node.js API → DB) and an ERD shall be provided and kept consistent with the implementation.</t>
        </is>
      </c>
      <c r="E126" s="14" t="inlineStr">
        <is>
          <t>M</t>
        </is>
      </c>
      <c r="F126" s="14" t="inlineStr">
        <is>
          <t>9</t>
        </is>
      </c>
      <c r="G126" s="14" t="inlineStr">
        <is>
          <t>11</t>
        </is>
      </c>
      <c r="H126" s="13" t="inlineStr">
        <is>
          <t>Diagrams exist in the repo and README and match the code.</t>
        </is>
      </c>
      <c r="I126" s="14" t="inlineStr">
        <is>
          <t>I</t>
        </is>
      </c>
      <c r="J126" s="13" t="inlineStr"/>
      <c r="K126" s="13" t="inlineStr">
        <is>
          <t>T-02</t>
        </is>
      </c>
      <c r="L126" s="13" t="inlineStr">
        <is>
          <t>feature/architecture-docs</t>
        </is>
      </c>
      <c r="M126" s="15" t="inlineStr">
        <is>
          <t>In Progress</t>
        </is>
      </c>
      <c r="N126" s="16" t="inlineStr">
        <is>
          <t>docs/ARCHITECTURE.md §3–4, §12; docs/ERD.md §1</t>
        </is>
      </c>
      <c r="O126" s="16" t="inlineStr"/>
      <c r="P126" s="4">
        <f>","&amp;SUBSTITUTE(F126," ","")&amp;","</f>
        <v/>
      </c>
    </row>
    <row r="127" ht="33" customHeight="1">
      <c r="A127" s="17" t="inlineStr">
        <is>
          <t>DR-07</t>
        </is>
      </c>
      <c r="B127" s="9" t="inlineStr">
        <is>
          <t>DR</t>
        </is>
      </c>
      <c r="C127" s="9" t="inlineStr">
        <is>
          <t>DELIVERY</t>
        </is>
      </c>
      <c r="D127" s="17" t="inlineStr">
        <is>
          <t>The README shall justify every non-mandated technology choice (DC-07).</t>
        </is>
      </c>
      <c r="E127" s="9" t="inlineStr">
        <is>
          <t>M</t>
        </is>
      </c>
      <c r="F127" s="9" t="inlineStr">
        <is>
          <t>7</t>
        </is>
      </c>
      <c r="G127" s="9" t="inlineStr">
        <is>
          <t>11</t>
        </is>
      </c>
      <c r="H127" s="17" t="inlineStr">
        <is>
          <t>Review.</t>
        </is>
      </c>
      <c r="I127" s="9" t="inlineStr">
        <is>
          <t>I</t>
        </is>
      </c>
      <c r="J127" s="17" t="inlineStr"/>
      <c r="K127" s="17" t="inlineStr">
        <is>
          <t>T-02, T-24</t>
        </is>
      </c>
      <c r="L127" s="17" t="inlineStr">
        <is>
          <t>feature/architecture-docs, pre-release</t>
        </is>
      </c>
      <c r="M127" s="15" t="inlineStr">
        <is>
          <t>In Progress</t>
        </is>
      </c>
      <c r="N127" s="16" t="inlineStr">
        <is>
          <t>docs/adr/0001–0012 (README summary pending, T-24)</t>
        </is>
      </c>
      <c r="O127" s="16" t="inlineStr"/>
      <c r="P127" s="4">
        <f>","&amp;SUBSTITUTE(F127," ","")&amp;","</f>
        <v/>
      </c>
    </row>
    <row r="128" ht="48" customHeight="1">
      <c r="A128" s="13" t="inlineStr">
        <is>
          <t>DR-08</t>
        </is>
      </c>
      <c r="B128" s="14" t="inlineStr">
        <is>
          <t>DR</t>
        </is>
      </c>
      <c r="C128" s="14" t="inlineStr">
        <is>
          <t>DELIVERY</t>
        </is>
      </c>
      <c r="D128" s="13" t="inlineStr">
        <is>
          <t>The README shall include an AI Usage section: which tools were used and for what, one accepted suggestion, and one rejected or changed suggestion with the reason.</t>
        </is>
      </c>
      <c r="E128" s="14" t="inlineStr">
        <is>
          <t>M</t>
        </is>
      </c>
      <c r="F128" s="14" t="inlineStr">
        <is>
          <t>8</t>
        </is>
      </c>
      <c r="G128" s="14" t="inlineStr">
        <is>
          <t>11</t>
        </is>
      </c>
      <c r="H128" s="13" t="inlineStr">
        <is>
          <t>Review.</t>
        </is>
      </c>
      <c r="I128" s="14" t="inlineStr">
        <is>
          <t>I</t>
        </is>
      </c>
      <c r="J128" s="13" t="inlineStr"/>
      <c r="K128" s="13" t="inlineStr">
        <is>
          <t>T-24</t>
        </is>
      </c>
      <c r="L128" s="13" t="inlineStr">
        <is>
          <t>pre-release</t>
        </is>
      </c>
      <c r="M128" s="15" t="inlineStr">
        <is>
          <t>Proposed</t>
        </is>
      </c>
      <c r="N128" s="16" t="inlineStr"/>
      <c r="O128" s="16" t="inlineStr"/>
      <c r="P128" s="4">
        <f>","&amp;SUBSTITUTE(F128," ","")&amp;","</f>
        <v/>
      </c>
    </row>
    <row r="129" ht="33" customHeight="1">
      <c r="A129" s="17" t="inlineStr">
        <is>
          <t>DR-09</t>
        </is>
      </c>
      <c r="B129" s="9" t="inlineStr">
        <is>
          <t>DR</t>
        </is>
      </c>
      <c r="C129" s="9" t="inlineStr">
        <is>
          <t>DELIVERY</t>
        </is>
      </c>
      <c r="D129" s="17" t="inlineStr">
        <is>
          <t>The repo shall include Docker Compose, .env.example, migrations and seed data using the reference personas (§1.3.4).</t>
        </is>
      </c>
      <c r="E129" s="9" t="inlineStr">
        <is>
          <t>M</t>
        </is>
      </c>
      <c r="F129" s="9" t="inlineStr">
        <is>
          <t>6, 14</t>
        </is>
      </c>
      <c r="G129" s="9" t="inlineStr">
        <is>
          <t>11</t>
        </is>
      </c>
      <c r="H129" s="17" t="inlineStr">
        <is>
          <t>NFR-POR-01 passes.</t>
        </is>
      </c>
      <c r="I129" s="9" t="inlineStr">
        <is>
          <t>I</t>
        </is>
      </c>
      <c r="J129" s="17" t="inlineStr">
        <is>
          <t>TC-36</t>
        </is>
      </c>
      <c r="K129" s="17" t="inlineStr">
        <is>
          <t>T-05</t>
        </is>
      </c>
      <c r="L129" s="17" t="inlineStr">
        <is>
          <t>feature/project-setup</t>
        </is>
      </c>
      <c r="M129" s="15" t="inlineStr">
        <is>
          <t>Proposed</t>
        </is>
      </c>
      <c r="N129" s="16" t="inlineStr"/>
      <c r="O129" s="16" t="inlineStr"/>
      <c r="P129" s="4">
        <f>","&amp;SUBSTITUTE(F129," ","")&amp;","</f>
        <v/>
      </c>
    </row>
    <row r="130" ht="78" customHeight="1">
      <c r="A130" s="13" t="inlineStr">
        <is>
          <t>DR-10</t>
        </is>
      </c>
      <c r="B130" s="14" t="inlineStr">
        <is>
          <t>DR</t>
        </is>
      </c>
      <c r="C130" s="14" t="inlineStr">
        <is>
          <t>DELIVERY</t>
        </is>
      </c>
      <c r="D130"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0" s="14" t="inlineStr">
        <is>
          <t>M</t>
        </is>
      </c>
      <c r="F130" s="14" t="inlineStr">
        <is>
          <t>12</t>
        </is>
      </c>
      <c r="G130" s="14" t="inlineStr">
        <is>
          <t>11</t>
        </is>
      </c>
      <c r="H130" s="13" t="inlineStr">
        <is>
          <t>Test IDs TC-01…TC-06 (and more) pass.</t>
        </is>
      </c>
      <c r="I130" s="14" t="inlineStr">
        <is>
          <t>I</t>
        </is>
      </c>
      <c r="J130" s="13" t="inlineStr"/>
      <c r="K130" s="13" t="inlineStr">
        <is>
          <t>T-23</t>
        </is>
      </c>
      <c r="L130" s="13" t="inlineStr">
        <is>
          <t>pre-release</t>
        </is>
      </c>
      <c r="M130" s="15" t="inlineStr">
        <is>
          <t>Proposed</t>
        </is>
      </c>
      <c r="N130" s="16" t="inlineStr"/>
      <c r="O130" s="16" t="inlineStr"/>
      <c r="P130" s="4">
        <f>","&amp;SUBSTITUTE(F130," ","")&amp;","</f>
        <v/>
      </c>
    </row>
    <row r="131" ht="48" customHeight="1">
      <c r="A131" s="17" t="inlineStr">
        <is>
          <t>DR-11</t>
        </is>
      </c>
      <c r="B131" s="9" t="inlineStr">
        <is>
          <t>DR</t>
        </is>
      </c>
      <c r="C131" s="9" t="inlineStr">
        <is>
          <t>DELIVERY</t>
        </is>
      </c>
      <c r="D131" s="17" t="inlineStr">
        <is>
          <t>The system shall be deployed on free tiers with the URL in the README, or a documented reproducible Docker deployment and the constraint that prevented deployment.</t>
        </is>
      </c>
      <c r="E131" s="9" t="inlineStr">
        <is>
          <t>S</t>
        </is>
      </c>
      <c r="F131" s="9" t="inlineStr">
        <is>
          <t>6, 14</t>
        </is>
      </c>
      <c r="G131" s="9" t="inlineStr">
        <is>
          <t>11</t>
        </is>
      </c>
      <c r="H131" s="17" t="inlineStr">
        <is>
          <t>URL or documented fallback.</t>
        </is>
      </c>
      <c r="I131" s="9" t="inlineStr">
        <is>
          <t>I</t>
        </is>
      </c>
      <c r="J131" s="17" t="inlineStr"/>
      <c r="K131" s="17" t="inlineStr">
        <is>
          <t>T-25</t>
        </is>
      </c>
      <c r="L131" s="17" t="inlineStr">
        <is>
          <t>pre-release</t>
        </is>
      </c>
      <c r="M131" s="15" t="inlineStr">
        <is>
          <t>Proposed</t>
        </is>
      </c>
      <c r="N131" s="16" t="inlineStr"/>
      <c r="O131" s="16" t="inlineStr"/>
      <c r="P131" s="4">
        <f>","&amp;SUBSTITUTE(F131," ","")&amp;","</f>
        <v/>
      </c>
    </row>
    <row r="132" ht="48" customHeight="1">
      <c r="A132" s="13" t="inlineStr">
        <is>
          <t>DR-12</t>
        </is>
      </c>
      <c r="B132" s="14" t="inlineStr">
        <is>
          <t>DR</t>
        </is>
      </c>
      <c r="C132" s="14" t="inlineStr">
        <is>
          <t>DELIVERY</t>
        </is>
      </c>
      <c r="D132" s="13" t="inlineStr">
        <is>
          <t>A video of at most 6 minutes shall be linked prominently in the README, following the PRD §13 structure (problem, engineering, product tour).</t>
        </is>
      </c>
      <c r="E132" s="14" t="inlineStr">
        <is>
          <t>M</t>
        </is>
      </c>
      <c r="F132" s="14" t="inlineStr">
        <is>
          <t>13</t>
        </is>
      </c>
      <c r="G132" s="14" t="inlineStr">
        <is>
          <t>11</t>
        </is>
      </c>
      <c r="H132" s="13" t="inlineStr">
        <is>
          <t>The link works and the video is ≤ 6:00.</t>
        </is>
      </c>
      <c r="I132" s="14" t="inlineStr">
        <is>
          <t>I</t>
        </is>
      </c>
      <c r="J132" s="13" t="inlineStr"/>
      <c r="K132" s="13" t="inlineStr">
        <is>
          <t>T-27</t>
        </is>
      </c>
      <c r="L132" s="13" t="inlineStr">
        <is>
          <t>release/v1.0.0</t>
        </is>
      </c>
      <c r="M132" s="15" t="inlineStr">
        <is>
          <t>Proposed</t>
        </is>
      </c>
      <c r="N132" s="16" t="inlineStr"/>
      <c r="O132" s="16" t="inlineStr"/>
      <c r="P132" s="4">
        <f>","&amp;SUBSTITUTE(F132," ","")&amp;","</f>
        <v/>
      </c>
    </row>
    <row r="133" ht="18" customHeight="1">
      <c r="A133" s="17" t="inlineStr">
        <is>
          <t>DR-13</t>
        </is>
      </c>
      <c r="B133" s="9" t="inlineStr">
        <is>
          <t>DR</t>
        </is>
      </c>
      <c r="C133" s="9" t="inlineStr">
        <is>
          <t>DELIVERY</t>
        </is>
      </c>
      <c r="D133" s="17" t="inlineStr">
        <is>
          <t>No paid infrastructure shall be used, and no secrets committed.</t>
        </is>
      </c>
      <c r="E133" s="9" t="inlineStr">
        <is>
          <t>M</t>
        </is>
      </c>
      <c r="F133" s="9" t="inlineStr">
        <is>
          <t>16</t>
        </is>
      </c>
      <c r="G133" s="9" t="inlineStr">
        <is>
          <t>11</t>
        </is>
      </c>
      <c r="H133" s="17" t="inlineStr">
        <is>
          <t>Review.</t>
        </is>
      </c>
      <c r="I133" s="9" t="inlineStr">
        <is>
          <t>I</t>
        </is>
      </c>
      <c r="J133" s="17" t="inlineStr"/>
      <c r="K133" s="17" t="inlineStr">
        <is>
          <t>T-25</t>
        </is>
      </c>
      <c r="L133" s="17" t="inlineStr">
        <is>
          <t>pre-release</t>
        </is>
      </c>
      <c r="M133" s="15" t="inlineStr">
        <is>
          <t>Proposed</t>
        </is>
      </c>
      <c r="N133" s="16" t="inlineStr"/>
      <c r="O133" s="16" t="inlineStr"/>
      <c r="P133" s="4">
        <f>","&amp;SUBSTITUTE(F133," ","")&amp;","</f>
        <v/>
      </c>
    </row>
    <row r="134" ht="33" customHeight="1">
      <c r="A134" s="13" t="inlineStr">
        <is>
          <t>DR-14</t>
        </is>
      </c>
      <c r="B134" s="14" t="inlineStr">
        <is>
          <t>DR</t>
        </is>
      </c>
      <c r="C134" s="14" t="inlineStr">
        <is>
          <t>DELIVERY</t>
        </is>
      </c>
      <c r="D134" s="13" t="inlineStr">
        <is>
          <t>No technology shall be added only to make the architecture look impressive.</t>
        </is>
      </c>
      <c r="E134" s="14" t="inlineStr">
        <is>
          <t>M</t>
        </is>
      </c>
      <c r="F134" s="14" t="inlineStr">
        <is>
          <t>9, 16</t>
        </is>
      </c>
      <c r="G134" s="14" t="inlineStr">
        <is>
          <t>11</t>
        </is>
      </c>
      <c r="H134" s="13" t="inlineStr">
        <is>
          <t>Every component in the diagram has a stated reason.</t>
        </is>
      </c>
      <c r="I134" s="14" t="inlineStr">
        <is>
          <t>I</t>
        </is>
      </c>
      <c r="J134" s="13" t="inlineStr"/>
      <c r="K134" s="13" t="inlineStr">
        <is>
          <t>T-02</t>
        </is>
      </c>
      <c r="L134" s="13" t="inlineStr">
        <is>
          <t>feature/architecture-docs</t>
        </is>
      </c>
      <c r="M134" s="15" t="inlineStr">
        <is>
          <t>Proposed</t>
        </is>
      </c>
      <c r="N134" s="16" t="inlineStr"/>
      <c r="O134" s="16" t="inlineStr"/>
      <c r="P134" s="4">
        <f>","&amp;SUBSTITUTE(F134," ","")&amp;","</f>
        <v/>
      </c>
    </row>
    <row r="135" ht="48" customHeight="1">
      <c r="A135" s="17" t="inlineStr">
        <is>
          <t>DR-15</t>
        </is>
      </c>
      <c r="B135" s="9" t="inlineStr">
        <is>
          <t>DR</t>
        </is>
      </c>
      <c r="C135" s="9" t="inlineStr">
        <is>
          <t>DELIVERY</t>
        </is>
      </c>
      <c r="D135" s="17" t="inlineStr">
        <is>
          <t>The reference personas (Nusrat, Rafiq, Shirin, Jashim, Bullet) shall be used consistently in seed data, tests, README and demo. There shall be no user1/driver1 placeholders.</t>
        </is>
      </c>
      <c r="E135" s="9" t="inlineStr">
        <is>
          <t>M</t>
        </is>
      </c>
      <c r="F135" s="9" t="inlineStr">
        <is>
          <t>1, 16, 18</t>
        </is>
      </c>
      <c r="G135" s="9" t="inlineStr">
        <is>
          <t>11</t>
        </is>
      </c>
      <c r="H135" s="17" t="inlineStr">
        <is>
          <t>Search the repo for "user1" or "driver1": no results.</t>
        </is>
      </c>
      <c r="I135" s="9" t="inlineStr">
        <is>
          <t>I</t>
        </is>
      </c>
      <c r="J135" s="17" t="inlineStr">
        <is>
          <t>TC-37</t>
        </is>
      </c>
      <c r="K135" s="17" t="inlineStr">
        <is>
          <t>T-07</t>
        </is>
      </c>
      <c r="L135" s="17" t="inlineStr">
        <is>
          <t>feature/db-schema</t>
        </is>
      </c>
      <c r="M135" s="15" t="inlineStr">
        <is>
          <t>Proposed</t>
        </is>
      </c>
      <c r="N135" s="16" t="inlineStr"/>
      <c r="O135" s="16" t="inlineStr"/>
      <c r="P135" s="4">
        <f>","&amp;SUBSTITUTE(F135," ","")&amp;","</f>
        <v/>
      </c>
    </row>
    <row r="136" ht="33" customHeight="1">
      <c r="A136" s="13" t="inlineStr">
        <is>
          <t>DR-16</t>
        </is>
      </c>
      <c r="B136" s="14" t="inlineStr">
        <is>
          <t>DR</t>
        </is>
      </c>
      <c r="C136" s="14" t="inlineStr">
        <is>
          <t>DELIVERY</t>
        </is>
      </c>
      <c r="D136" s="13" t="inlineStr">
        <is>
          <t>The README shall document the concurrency approach now and what would change at scale.</t>
        </is>
      </c>
      <c r="E136" s="14" t="inlineStr">
        <is>
          <t>M</t>
        </is>
      </c>
      <c r="F136" s="14" t="inlineStr">
        <is>
          <t>12</t>
        </is>
      </c>
      <c r="G136" s="14" t="inlineStr">
        <is>
          <t>11</t>
        </is>
      </c>
      <c r="H136" s="13" t="inlineStr">
        <is>
          <t>Review (links to NFR-CON-03).</t>
        </is>
      </c>
      <c r="I136" s="14" t="inlineStr">
        <is>
          <t>I</t>
        </is>
      </c>
      <c r="J136" s="13" t="inlineStr"/>
      <c r="K136" s="13" t="inlineStr">
        <is>
          <t>T-16, T-24</t>
        </is>
      </c>
      <c r="L136" s="13" t="inlineStr">
        <is>
          <t>feature/tesla-pooling, pre-release</t>
        </is>
      </c>
      <c r="M136" s="15" t="inlineStr">
        <is>
          <t>Proposed</t>
        </is>
      </c>
      <c r="N136" s="16" t="inlineStr"/>
      <c r="O136" s="16" t="inlineStr"/>
      <c r="P136" s="4">
        <f>","&amp;SUBSTITUTE(F136," ","")&amp;","</f>
        <v/>
      </c>
    </row>
    <row r="137" ht="93" customHeight="1">
      <c r="A137" s="17" t="inlineStr">
        <is>
          <t>DR-17</t>
        </is>
      </c>
      <c r="B137" s="9" t="inlineStr">
        <is>
          <t>DR</t>
        </is>
      </c>
      <c r="C137" s="9" t="inlineStr">
        <is>
          <t>DELIVERY</t>
        </is>
      </c>
      <c r="D137"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37" s="9" t="inlineStr">
        <is>
          <t>C</t>
        </is>
      </c>
      <c r="F137" s="9" t="inlineStr">
        <is>
          <t>12</t>
        </is>
      </c>
      <c r="G137" s="9" t="inlineStr">
        <is>
          <t>11</t>
        </is>
      </c>
      <c r="H137" s="17" t="inlineStr">
        <is>
          <t>Section exists.</t>
        </is>
      </c>
      <c r="I137" s="9" t="inlineStr">
        <is>
          <t>I</t>
        </is>
      </c>
      <c r="J137" s="17" t="inlineStr"/>
      <c r="K137" s="17" t="inlineStr">
        <is>
          <t>T-26</t>
        </is>
      </c>
      <c r="L137" s="17" t="inlineStr">
        <is>
          <t>pre-release</t>
        </is>
      </c>
      <c r="M137" s="15" t="inlineStr">
        <is>
          <t>Proposed</t>
        </is>
      </c>
      <c r="N137" s="16" t="inlineStr"/>
      <c r="O137" s="16" t="inlineStr"/>
      <c r="P137" s="4">
        <f>","&amp;SUBSTITUTE(F137," ","")&amp;","</f>
        <v/>
      </c>
    </row>
    <row r="138" ht="33" customHeight="1">
      <c r="A138" s="13" t="inlineStr">
        <is>
          <t>DR-18</t>
        </is>
      </c>
      <c r="B138" s="14" t="inlineStr">
        <is>
          <t>DR</t>
        </is>
      </c>
      <c r="C138" s="14" t="inlineStr">
        <is>
          <t>DELIVERY</t>
        </is>
      </c>
      <c r="D138" s="13" t="inlineStr">
        <is>
          <t>This SRS and its traceability workbook shall be kept up to date when requirements or architecture change.</t>
        </is>
      </c>
      <c r="E138" s="14" t="inlineStr">
        <is>
          <t>S</t>
        </is>
      </c>
      <c r="F138" s="14" t="inlineStr">
        <is>
          <t>9</t>
        </is>
      </c>
      <c r="G138" s="14" t="inlineStr">
        <is>
          <t>11</t>
        </is>
      </c>
      <c r="H138" s="13" t="inlineStr">
        <is>
          <t>The revision history is updated.</t>
        </is>
      </c>
      <c r="I138" s="14" t="inlineStr">
        <is>
          <t>I</t>
        </is>
      </c>
      <c r="J138" s="13" t="inlineStr"/>
      <c r="K138" s="13" t="inlineStr">
        <is>
          <t>T-01</t>
        </is>
      </c>
      <c r="L138" s="13" t="inlineStr">
        <is>
          <t>feature/srs-docs</t>
        </is>
      </c>
      <c r="M138" s="15" t="inlineStr">
        <is>
          <t>In Progress</t>
        </is>
      </c>
      <c r="N138" s="16" t="inlineStr">
        <is>
          <t>SRS v0.2 revision 2026-09-24</t>
        </is>
      </c>
      <c r="O138" s="16" t="inlineStr"/>
      <c r="P138" s="4">
        <f>","&amp;SUBSTITUTE(F138," ","")&amp;","</f>
        <v/>
      </c>
    </row>
  </sheetData>
  <autoFilter ref="A1:O138"/>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47"/>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Not Written</t>
        </is>
      </c>
      <c r="J2" s="16" t="inlineStr"/>
      <c r="K2" s="16" t="inlineStr"/>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Not Written</t>
        </is>
      </c>
      <c r="J3" s="16" t="inlineStr"/>
      <c r="K3" s="16" t="inlineStr"/>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Not Written</t>
        </is>
      </c>
      <c r="J4" s="16" t="inlineStr"/>
      <c r="K4" s="16" t="inlineStr"/>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Not Written</t>
        </is>
      </c>
      <c r="J5" s="16" t="inlineStr"/>
      <c r="K5" s="16" t="inlineStr"/>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Not Written</t>
        </is>
      </c>
      <c r="J6" s="16" t="inlineStr"/>
      <c r="K6" s="16" t="inlineStr"/>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Not Written</t>
        </is>
      </c>
      <c r="J7" s="16" t="inlineStr"/>
      <c r="K7" s="16" t="inlineStr"/>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Not Written</t>
        </is>
      </c>
      <c r="J8" s="16" t="inlineStr"/>
      <c r="K8" s="16" t="inlineStr"/>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Not Written</t>
        </is>
      </c>
      <c r="J9" s="16" t="inlineStr"/>
      <c r="K9" s="16" t="inlineStr"/>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Not Written</t>
        </is>
      </c>
      <c r="J10" s="16" t="inlineStr"/>
      <c r="K10" s="16" t="inlineStr"/>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Not Written</t>
        </is>
      </c>
      <c r="J11" s="16" t="inlineStr"/>
      <c r="K11" s="16" t="inlineStr"/>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Not Written</t>
        </is>
      </c>
      <c r="J12" s="16" t="inlineStr"/>
      <c r="K12" s="16" t="inlineStr"/>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Not Written</t>
        </is>
      </c>
      <c r="J13" s="16" t="inlineStr"/>
      <c r="K13" s="16" t="inlineStr"/>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Not Written</t>
        </is>
      </c>
      <c r="J14" s="16" t="inlineStr"/>
      <c r="K14" s="16" t="inlineStr"/>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Not Written</t>
        </is>
      </c>
      <c r="J15" s="16" t="inlineStr"/>
      <c r="K15" s="16" t="inlineStr"/>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Not Written</t>
        </is>
      </c>
      <c r="J16" s="16" t="inlineStr"/>
      <c r="K16" s="16" t="inlineStr"/>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Not Written</t>
        </is>
      </c>
      <c r="J17" s="16" t="inlineStr"/>
      <c r="K17" s="16" t="inlineStr"/>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Not Written</t>
        </is>
      </c>
      <c r="J18" s="16" t="inlineStr"/>
      <c r="K18" s="16" t="inlineStr"/>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Not Written</t>
        </is>
      </c>
      <c r="J19" s="16" t="inlineStr"/>
      <c r="K19" s="16" t="inlineStr"/>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Not Written</t>
        </is>
      </c>
      <c r="J20" s="16" t="inlineStr"/>
      <c r="K20" s="16" t="inlineStr"/>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Not Written</t>
        </is>
      </c>
      <c r="J21" s="16" t="inlineStr"/>
      <c r="K21" s="16" t="inlineStr"/>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Not Written</t>
        </is>
      </c>
      <c r="J22" s="16" t="inlineStr"/>
      <c r="K22" s="16" t="inlineStr"/>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Not Written</t>
        </is>
      </c>
      <c r="J23" s="16" t="inlineStr"/>
      <c r="K23" s="16" t="inlineStr"/>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Not Written</t>
        </is>
      </c>
      <c r="J24" s="16" t="inlineStr"/>
      <c r="K24" s="16" t="inlineStr"/>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Not Written</t>
        </is>
      </c>
      <c r="J25" s="16" t="inlineStr"/>
      <c r="K25" s="16" t="inlineStr"/>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Not Written</t>
        </is>
      </c>
      <c r="J26" s="16" t="inlineStr"/>
      <c r="K26" s="16" t="inlineStr"/>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Not Written</t>
        </is>
      </c>
      <c r="J27" s="16" t="inlineStr"/>
      <c r="K27" s="16" t="inlineStr"/>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Not Written</t>
        </is>
      </c>
      <c r="J28" s="16" t="inlineStr"/>
      <c r="K28" s="16" t="inlineStr"/>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Not Written</t>
        </is>
      </c>
      <c r="J29" s="16" t="inlineStr"/>
      <c r="K29" s="16" t="inlineStr"/>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Not Written</t>
        </is>
      </c>
      <c r="J30" s="16" t="inlineStr"/>
      <c r="K30" s="16" t="inlineStr"/>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Not Written</t>
        </is>
      </c>
      <c r="J31" s="16" t="inlineStr"/>
      <c r="K31" s="16" t="inlineStr"/>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Not Written</t>
        </is>
      </c>
      <c r="J32" s="16" t="inlineStr"/>
      <c r="K32" s="16" t="inlineStr"/>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Not Written</t>
        </is>
      </c>
      <c r="J33" s="16" t="inlineStr"/>
      <c r="K33" s="16" t="inlineStr"/>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Not Written</t>
        </is>
      </c>
      <c r="J34" s="16" t="inlineStr"/>
      <c r="K34" s="16" t="inlineStr"/>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Not Written</t>
        </is>
      </c>
      <c r="J35" s="16" t="inlineStr"/>
      <c r="K35" s="16" t="inlineStr"/>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Not Written</t>
        </is>
      </c>
      <c r="J36" s="16" t="inlineStr"/>
      <c r="K36" s="16" t="inlineStr"/>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Not Written</t>
        </is>
      </c>
      <c r="J38" s="16" t="inlineStr"/>
      <c r="K38" s="16" t="inlineStr"/>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Not Written</t>
        </is>
      </c>
      <c r="J39" s="16" t="inlineStr"/>
      <c r="K39" s="16" t="inlineStr"/>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Not Written</t>
        </is>
      </c>
      <c r="J40" s="16" t="inlineStr"/>
      <c r="K40" s="16" t="inlineStr"/>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Not Written</t>
        </is>
      </c>
      <c r="J41" s="16" t="inlineStr"/>
      <c r="K41" s="16" t="inlineStr"/>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Not Written</t>
        </is>
      </c>
      <c r="J43" s="16" t="inlineStr"/>
      <c r="K43" s="16" t="inlineStr"/>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Not Written</t>
        </is>
      </c>
      <c r="J44" s="16" t="inlineStr"/>
      <c r="K44" s="16" t="inlineStr"/>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Not Written</t>
        </is>
      </c>
      <c r="J45" s="16" t="inlineStr"/>
      <c r="K45" s="16" t="inlineStr"/>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sheetData>
  <autoFilter ref="A1:K47"/>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48"/>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D-01</t>
        </is>
      </c>
      <c r="B20" s="14" t="inlineStr">
        <is>
          <t>Decision</t>
        </is>
      </c>
      <c r="C20" s="13" t="inlineStr">
        <is>
          <t>The SRS follows ISO/IEC/IEEE 29148 as Markdown in the repo, with an Excel RTM.</t>
        </is>
      </c>
      <c r="D20" s="13" t="inlineStr">
        <is>
          <t>Reviewable in git history, sits next to the code, and the industry-standard structure.</t>
        </is>
      </c>
      <c r="E20" s="13" t="inlineStr">
        <is>
          <t>Word document; Excel only</t>
        </is>
      </c>
      <c r="F20" s="13" t="inlineStr">
        <is>
          <t>DR-18</t>
        </is>
      </c>
      <c r="G20" s="15" t="inlineStr">
        <is>
          <t>Confirmed</t>
        </is>
      </c>
      <c r="H20" s="14" t="inlineStr">
        <is>
          <t>2026-09-23</t>
        </is>
      </c>
      <c r="I20" s="16" t="inlineStr">
        <is>
          <t>Confirmed by product owner in SRS planning session</t>
        </is>
      </c>
    </row>
    <row r="21" ht="33" customHeight="1">
      <c r="A21" s="9" t="inlineStr">
        <is>
          <t>D-02</t>
        </is>
      </c>
      <c r="B21" s="9" t="inlineStr">
        <is>
          <t>Decision</t>
        </is>
      </c>
      <c r="C21" s="17" t="inlineStr">
        <is>
          <t>Geography is zones plus a distance table plus an adjacency list.</t>
        </is>
      </c>
      <c r="D21" s="17" t="inlineStr">
        <is>
          <t>Hand-verifiable fares and no dependency on a map service.</t>
        </is>
      </c>
      <c r="E21" s="17" t="inlineStr">
        <is>
          <t>Lat/long with haversine; a free map</t>
        </is>
      </c>
      <c r="F21" s="17" t="inlineStr">
        <is>
          <t>BR-08, BR-09</t>
        </is>
      </c>
      <c r="G21" s="15" t="inlineStr">
        <is>
          <t>Confirmed</t>
        </is>
      </c>
      <c r="H21" s="9" t="inlineStr">
        <is>
          <t>2026-09-23</t>
        </is>
      </c>
      <c r="I21" s="16" t="inlineStr">
        <is>
          <t>Confirmed by product owner in SRS planning session</t>
        </is>
      </c>
    </row>
    <row r="22" ht="33" customHeight="1">
      <c r="A22" s="14" t="inlineStr">
        <is>
          <t>D-03</t>
        </is>
      </c>
      <c r="B22" s="14" t="inlineStr">
        <is>
          <t>Decision</t>
        </is>
      </c>
      <c r="C22" s="13" t="inlineStr">
        <is>
          <t>Matching uses the same pickup zone, same or adjacent destinations, and a 10-minute window.</t>
        </is>
      </c>
      <c r="D22" s="13" t="inlineStr">
        <is>
          <t>Simple, transparent and consistent, and it handles the overlapping Nusrat/Rafiq trips.</t>
        </is>
      </c>
      <c r="E22" s="13" t="inlineStr">
        <is>
          <t>Detour percentage; same pickup only</t>
        </is>
      </c>
      <c r="F22" s="13" t="inlineStr">
        <is>
          <t>BR-02</t>
        </is>
      </c>
      <c r="G22" s="15" t="inlineStr">
        <is>
          <t>Confirmed</t>
        </is>
      </c>
      <c r="H22" s="14" t="inlineStr">
        <is>
          <t>2026-09-23</t>
        </is>
      </c>
      <c r="I22" s="16" t="inlineStr">
        <is>
          <t>Confirmed by product owner in SRS planning session</t>
        </is>
      </c>
    </row>
    <row r="23" ht="33" customHeight="1">
      <c r="A23" s="9" t="inlineStr">
        <is>
          <t>D-04</t>
        </is>
      </c>
      <c r="B23" s="9" t="inlineStr">
        <is>
          <t>Decision</t>
        </is>
      </c>
      <c r="C23" s="17" t="inlineStr">
        <is>
          <t>The driver accepts each request explicitly into the pool.</t>
        </is>
      </c>
      <c r="D23" s="17" t="inlineStr">
        <is>
          <t>Matches the PRD's driver flow ("accept a ride/pool") and gives the driver control.</t>
        </is>
      </c>
      <c r="E23" s="17" t="inlineStr">
        <is>
          <t>Auto-join after the first accept; full auto-dispatch</t>
        </is>
      </c>
      <c r="F23" s="17" t="inlineStr">
        <is>
          <t>FR-DRV-05, BR-03</t>
        </is>
      </c>
      <c r="G23" s="15" t="inlineStr">
        <is>
          <t>Confirmed</t>
        </is>
      </c>
      <c r="H23" s="9" t="inlineStr">
        <is>
          <t>2026-09-23</t>
        </is>
      </c>
      <c r="I23" s="16" t="inlineStr">
        <is>
          <t>Confirmed by product owner in SRS planning session</t>
        </is>
      </c>
    </row>
    <row r="24" ht="33" customHeight="1">
      <c r="A24" s="14" t="inlineStr">
        <is>
          <t>D-05</t>
        </is>
      </c>
      <c r="B24" s="14" t="inlineStr">
        <is>
          <t>Decision</t>
        </is>
      </c>
      <c r="C24" s="13" t="inlineStr">
        <is>
          <t>Money is stored as integer paisa (BIGINT).</t>
        </is>
      </c>
      <c r="D24" s="13" t="inlineStr">
        <is>
          <t>Exact integer arithmetic, no float bugs in JS, and identical results in JS and SQL.</t>
        </is>
      </c>
      <c r="E24" s="13" t="inlineStr">
        <is>
          <t>DECIMAL(10,2)</t>
        </is>
      </c>
      <c r="F24" s="13" t="inlineStr">
        <is>
          <t>BR-14, FR-FARE-06</t>
        </is>
      </c>
      <c r="G24" s="15" t="inlineStr">
        <is>
          <t>Confirmed</t>
        </is>
      </c>
      <c r="H24" s="14" t="inlineStr">
        <is>
          <t>2026-09-23</t>
        </is>
      </c>
      <c r="I24" s="16" t="inlineStr">
        <is>
          <t>Confirmed by product owner in SRS planning session</t>
        </is>
      </c>
    </row>
    <row r="25" ht="33" customHeight="1">
      <c r="A25" s="9" t="inlineStr">
        <is>
          <t>D-06</t>
        </is>
      </c>
      <c r="B25" s="9" t="inlineStr">
        <is>
          <t>Decision</t>
        </is>
      </c>
      <c r="C25" s="17" t="inlineStr">
        <is>
          <t>Fare = base + per-km charge − 20 % of the distance charge when pooled, per seat.</t>
        </is>
      </c>
      <c r="D25" s="17" t="inlineStr">
        <is>
          <t>Easy to check by hand, the discount scales with distance, and the base covers the pickup cost.</t>
        </is>
      </c>
      <c r="E25" s="17" t="inlineStr">
        <is>
          <t>Flat discount; split the shared leg</t>
        </is>
      </c>
      <c r="F25" s="17" t="inlineStr">
        <is>
          <t>BR-10, BR-11</t>
        </is>
      </c>
      <c r="G25" s="15" t="inlineStr">
        <is>
          <t>Confirmed</t>
        </is>
      </c>
      <c r="H25" s="9" t="inlineStr">
        <is>
          <t>2026-09-23</t>
        </is>
      </c>
      <c r="I25" s="16" t="inlineStr">
        <is>
          <t>Confirmed by product owner in SRS planning session</t>
        </is>
      </c>
    </row>
    <row r="26" ht="33" customHeight="1">
      <c r="A26" s="14" t="inlineStr">
        <is>
          <t>D-07</t>
        </is>
      </c>
      <c r="B26" s="14" t="inlineStr">
        <is>
          <t>Decision</t>
        </is>
      </c>
      <c r="C26" s="13" t="inlineStr">
        <is>
          <t>The fare locks at trip start.</t>
        </is>
      </c>
      <c r="D26" s="13" t="inlineStr">
        <is>
          <t>The discount is given only when the ride really was shared, and the price is fixed during the ride.</t>
        </is>
      </c>
      <c r="E26" s="13" t="inlineStr">
        <is>
          <t>Lock at match; compute at completion</t>
        </is>
      </c>
      <c r="F26" s="13" t="inlineStr">
        <is>
          <t>BR-12, FR-FARE-03</t>
        </is>
      </c>
      <c r="G26" s="15" t="inlineStr">
        <is>
          <t>Confirmed</t>
        </is>
      </c>
      <c r="H26" s="14" t="inlineStr">
        <is>
          <t>2026-09-23</t>
        </is>
      </c>
      <c r="I26" s="16" t="inlineStr">
        <is>
          <t>Confirmed by product owner in SRS planning session</t>
        </is>
      </c>
    </row>
    <row r="27" ht="33" customHeight="1">
      <c r="A27" s="9" t="inlineStr">
        <is>
          <t>D-08</t>
        </is>
      </c>
      <c r="B27" s="9" t="inlineStr">
        <is>
          <t>Decision</t>
        </is>
      </c>
      <c r="C27" s="17" t="inlineStr">
        <is>
          <t>Cancellation is free before arrival, ৳20 after arrival, and not allowed after start.</t>
        </is>
      </c>
      <c r="D27" s="17" t="inlineStr">
        <is>
          <t>Fair to both sides and discourages no-shows.</t>
        </is>
      </c>
      <c r="E27" s="17" t="inlineStr">
        <is>
          <t>Free until start; only before match</t>
        </is>
      </c>
      <c r="F27" s="17" t="inlineStr">
        <is>
          <t>BR-07</t>
        </is>
      </c>
      <c r="G27" s="15" t="inlineStr">
        <is>
          <t>Confirmed</t>
        </is>
      </c>
      <c r="H27" s="9" t="inlineStr">
        <is>
          <t>2026-09-23</t>
        </is>
      </c>
      <c r="I27" s="16" t="inlineStr">
        <is>
          <t>Confirmed by product owner in SRS planning session</t>
        </is>
      </c>
    </row>
    <row r="28" ht="33" customHeight="1">
      <c r="A28" s="14" t="inlineStr">
        <is>
          <t>D-09</t>
        </is>
      </c>
      <c r="B28" s="14" t="inlineStr">
        <is>
          <t>Decision</t>
        </is>
      </c>
      <c r="C28" s="13" t="inlineStr">
        <is>
          <t>Payment is cash or the simulated TeslaPay wallet with a ledger.</t>
        </is>
      </c>
      <c r="D28" s="13" t="inlineStr">
        <is>
          <t>Covers both PRD options and shows ledger integrity.</t>
        </is>
      </c>
      <c r="E28" s="13" t="inlineStr">
        <is>
          <t>Cash only; wallet only</t>
        </is>
      </c>
      <c r="F28" s="13" t="inlineStr">
        <is>
          <t>FR-PAY-01…06</t>
        </is>
      </c>
      <c r="G28" s="15" t="inlineStr">
        <is>
          <t>Confirmed</t>
        </is>
      </c>
      <c r="H28" s="14" t="inlineStr">
        <is>
          <t>2026-09-23</t>
        </is>
      </c>
      <c r="I28" s="16" t="inlineStr">
        <is>
          <t>Confirmed by product owner in SRS planning session</t>
        </is>
      </c>
    </row>
    <row r="29" ht="33" customHeight="1">
      <c r="A29" s="9" t="inlineStr">
        <is>
          <t>D-10</t>
        </is>
      </c>
      <c r="B29" s="9" t="inlineStr">
        <is>
          <t>Decision</t>
        </is>
      </c>
      <c r="C29" s="17" t="inlineStr">
        <is>
          <t>The API style is REST with action sub-resources for transitions.</t>
        </is>
      </c>
      <c r="D29" s="17" t="inlineStr">
        <is>
          <t>Simple resources, explicit guarded commands, and easy to test with curl or HTTP clients.</t>
        </is>
      </c>
      <c r="E29" s="17" t="inlineStr">
        <is>
          <t>GraphQL; RPC</t>
        </is>
      </c>
      <c r="F29" s="17" t="inlineStr">
        <is>
          <t>§8.2</t>
        </is>
      </c>
      <c r="G29" s="15" t="inlineStr">
        <is>
          <t>Proposed</t>
        </is>
      </c>
      <c r="H29" s="9" t="inlineStr">
        <is>
          <t>2026-09-23</t>
        </is>
      </c>
      <c r="I29" s="16" t="inlineStr"/>
    </row>
    <row r="30" ht="18" customHeight="1">
      <c r="A30" s="14" t="inlineStr">
        <is>
          <t>D-11</t>
        </is>
      </c>
      <c r="B30" s="14" t="inlineStr">
        <is>
          <t>Decision</t>
        </is>
      </c>
      <c r="C30" s="13" t="inlineStr">
        <is>
          <t>Status updates use polling.</t>
        </is>
      </c>
      <c r="D30" s="13" t="inlineStr">
        <is>
          <t>No extra infrastructure; enough for the MVP (A-11).</t>
        </is>
      </c>
      <c r="E30" s="13" t="inlineStr">
        <is>
          <t>WebSockets, SSE</t>
        </is>
      </c>
      <c r="F30" s="13" t="inlineStr">
        <is>
          <t>FR-PAX-07</t>
        </is>
      </c>
      <c r="G30" s="15" t="inlineStr">
        <is>
          <t>Proposed</t>
        </is>
      </c>
      <c r="H30" s="14" t="inlineStr">
        <is>
          <t>2026-09-23</t>
        </is>
      </c>
      <c r="I30" s="16" t="inlineStr"/>
    </row>
    <row r="31" ht="33" customHeight="1">
      <c r="A31" s="9" t="inlineStr">
        <is>
          <t>D-12</t>
        </is>
      </c>
      <c r="B31" s="9" t="inlineStr">
        <is>
          <t>Decision</t>
        </is>
      </c>
      <c r="C31" s="17" t="inlineStr">
        <is>
          <t>There are two linked state machines (ride request and pool).</t>
        </is>
      </c>
      <c r="D31" s="17" t="inlineStr">
        <is>
          <t>Pooled trips have passenger-level and trip-level events that cannot share one status.</t>
        </is>
      </c>
      <c r="E31" s="17" t="inlineStr">
        <is>
          <t>A single ride status</t>
        </is>
      </c>
      <c r="F31" s="17" t="inlineStr">
        <is>
          <t>§5, BR-06</t>
        </is>
      </c>
      <c r="G31" s="15" t="inlineStr">
        <is>
          <t>Proposed</t>
        </is>
      </c>
      <c r="H31" s="9" t="inlineStr">
        <is>
          <t>2026-09-23</t>
        </is>
      </c>
      <c r="I31" s="16" t="inlineStr"/>
    </row>
    <row r="32" ht="48" customHeight="1">
      <c r="A32" s="14" t="inlineStr">
        <is>
          <t>D-13</t>
        </is>
      </c>
      <c r="B32" s="14" t="inlineStr">
        <is>
          <t>Decision</t>
        </is>
      </c>
      <c r="C32" s="13" t="inlineStr">
        <is>
          <t>The DBMS is PostgreSQL 16 (ADR-0002).</t>
        </is>
      </c>
      <c r="D32" s="13" t="inlineStr">
        <is>
          <t>CHECK constraints, partial unique indexes, row locks and transactional DDL directly support the integrity rules.</t>
        </is>
      </c>
      <c r="E32" s="13" t="inlineStr">
        <is>
          <t>MySQL, SQLite, MongoDB</t>
        </is>
      </c>
      <c r="F32" s="13" t="inlineStr">
        <is>
          <t>DC-03, NFR-CON-04, ADR-0002</t>
        </is>
      </c>
      <c r="G32" s="15" t="inlineStr">
        <is>
          <t>Proposed</t>
        </is>
      </c>
      <c r="H32" s="14" t="inlineStr">
        <is>
          <t>2026-09-23</t>
        </is>
      </c>
      <c r="I32" s="16" t="inlineStr"/>
    </row>
    <row r="33" ht="33" customHeight="1">
      <c r="A33" s="9" t="inlineStr">
        <is>
          <t>D-14</t>
        </is>
      </c>
      <c r="B33" s="9" t="inlineStr">
        <is>
          <t>Decision</t>
        </is>
      </c>
      <c r="C33" s="17" t="inlineStr">
        <is>
          <t>The system is a modular monolith: Next.js web + one Express API + PostgreSQL (ADR-0001).</t>
        </is>
      </c>
      <c r="D33" s="17" t="inlineStr">
        <is>
          <t>Every invariant fits in one ACID transaction, with no distributed consistency (PRD §9).</t>
        </is>
      </c>
      <c r="E33" s="17" t="inlineStr">
        <is>
          <t>Next.js-only; microservices</t>
        </is>
      </c>
      <c r="F33" s="17" t="inlineStr">
        <is>
          <t>DC-05, DR-14</t>
        </is>
      </c>
      <c r="G33" s="15" t="inlineStr">
        <is>
          <t>Proposed</t>
        </is>
      </c>
      <c r="H33" s="9" t="inlineStr">
        <is>
          <t>2026-09-24</t>
        </is>
      </c>
      <c r="I33" s="16" t="inlineStr"/>
    </row>
    <row r="34" ht="33" customHeight="1">
      <c r="A34" s="14" t="inlineStr">
        <is>
          <t>D-15</t>
        </is>
      </c>
      <c r="B34" s="14" t="inlineStr">
        <is>
          <t>Decision</t>
        </is>
      </c>
      <c r="C34" s="13" t="inlineStr">
        <is>
          <t>The API is built with Express 5 + TypeScript (ADR-0003).</t>
        </is>
      </c>
      <c r="D34" s="13" t="inlineStr">
        <is>
          <t>No hidden control flow, a large ecosystem, and explicit layering that is simple to trace and maintain.</t>
        </is>
      </c>
      <c r="E34" s="13" t="inlineStr">
        <is>
          <t>NestJS; Fastify</t>
        </is>
      </c>
      <c r="F34" s="13" t="inlineStr">
        <is>
          <t>DC-02, DC-07</t>
        </is>
      </c>
      <c r="G34" s="15" t="inlineStr">
        <is>
          <t>Confirmed</t>
        </is>
      </c>
      <c r="H34" s="14" t="inlineStr">
        <is>
          <t>2026-09-24</t>
        </is>
      </c>
      <c r="I34" s="16" t="inlineStr">
        <is>
          <t>Chosen by product owner in architecture session</t>
        </is>
      </c>
    </row>
    <row r="35" ht="48" customHeight="1">
      <c r="A35" s="9" t="inlineStr">
        <is>
          <t>D-16</t>
        </is>
      </c>
      <c r="B35" s="9" t="inlineStr">
        <is>
          <t>Decision</t>
        </is>
      </c>
      <c r="C35" s="17" t="inlineStr">
        <is>
          <t>Data access uses Prisma, with CHECK constraints, partial unique indexes and triggers in hand-written SQL migrations (ADR-0004).</t>
        </is>
      </c>
      <c r="D35" s="17" t="inlineStr">
        <is>
          <t>Type-safe DX for most queries. Raw SQL is visible exactly where the integrity guarantees are implemented.</t>
        </is>
      </c>
      <c r="E35" s="17" t="inlineStr">
        <is>
          <t>Drizzle; Knex; TypeORM</t>
        </is>
      </c>
      <c r="F35" s="17" t="inlineStr">
        <is>
          <t>NFR-CON-04, NFR-POR-03, NFR-SEC-08</t>
        </is>
      </c>
      <c r="G35" s="15" t="inlineStr">
        <is>
          <t>Confirmed</t>
        </is>
      </c>
      <c r="H35" s="9" t="inlineStr">
        <is>
          <t>2026-09-24</t>
        </is>
      </c>
      <c r="I35" s="16" t="inlineStr">
        <is>
          <t>Chosen by product owner in architecture session</t>
        </is>
      </c>
    </row>
    <row r="36" ht="48" customHeight="1">
      <c r="A36" s="14" t="inlineStr">
        <is>
          <t>D-17</t>
        </is>
      </c>
      <c r="B36" s="14" t="inlineStr">
        <is>
          <t>Decision</t>
        </is>
      </c>
      <c r="C36" s="13" t="inlineStr">
        <is>
          <t>Auth uses opaque DB-backed sessions (SHA-256 hash stored) in an httpOnly cookie, behind a same-origin Next.js /api proxy (ADR-0005).</t>
        </is>
      </c>
      <c r="D36" s="13" t="inlineStr">
        <is>
          <t>Real logout; a DB leak exposes no usable tokens; first-party cookies across different hosts.</t>
        </is>
      </c>
      <c r="E36" s="13" t="inlineStr">
        <is>
          <t>JWT in cookie; Auth.js/Lucia</t>
        </is>
      </c>
      <c r="F36" s="13" t="inlineStr">
        <is>
          <t>FR-AUTH-02, FR-AUTH-03, NFR-SEC-06</t>
        </is>
      </c>
      <c r="G36" s="15" t="inlineStr">
        <is>
          <t>Confirmed</t>
        </is>
      </c>
      <c r="H36" s="14" t="inlineStr">
        <is>
          <t>2026-09-24</t>
        </is>
      </c>
      <c r="I36" s="16" t="inlineStr">
        <is>
          <t>Chosen by product owner in architecture session</t>
        </is>
      </c>
    </row>
    <row r="37" ht="63" customHeight="1">
      <c r="A37" s="9" t="inlineStr">
        <is>
          <t>D-18</t>
        </is>
      </c>
      <c r="B37" s="9" t="inlineStr">
        <is>
          <t>Decision</t>
        </is>
      </c>
      <c r="C37" s="17" t="inlineStr">
        <is>
          <t>Concurrency uses row locks in the fixed order driver → pool → ride → wallet, compare-and-set transitions and DB constraints. Expiry is checked in the accept CAS, plus a 60 s in-process sweeper (ADR-0006).</t>
        </is>
      </c>
      <c r="D37" s="17" t="inlineStr">
        <is>
          <t>Deterministic outcome for the last-seat race, with no extra infrastructure.</t>
        </is>
      </c>
      <c r="E37" s="17" t="inlineStr">
        <is>
          <t>Optimistic versioning; SERIALIZABLE; Redis lock</t>
        </is>
      </c>
      <c r="F37" s="17" t="inlineStr">
        <is>
          <t>NFR-CON-01, NFR-CON-02, NFR-CON-03, NFR-REL-04</t>
        </is>
      </c>
      <c r="G37" s="15" t="inlineStr">
        <is>
          <t>Proposed</t>
        </is>
      </c>
      <c r="H37" s="9" t="inlineStr">
        <is>
          <t>2026-09-24</t>
        </is>
      </c>
      <c r="I37" s="16" t="inlineStr"/>
    </row>
    <row r="38" ht="33" customHeight="1">
      <c r="A38" s="14" t="inlineStr">
        <is>
          <t>D-19</t>
        </is>
      </c>
      <c r="B38" s="14" t="inlineStr">
        <is>
          <t>Decision</t>
        </is>
      </c>
      <c r="C38" s="13" t="inlineStr">
        <is>
          <t>The repo is an npm-workspaces monorepo: apps/web, apps/api, packages/shared (Zod, enums, transition tables) (ADR-0008).</t>
        </is>
      </c>
      <c r="D38" s="13" t="inlineStr">
        <is>
          <t>One source for schemas, enums and transition tables across web and API.</t>
        </is>
      </c>
      <c r="E38" s="13" t="inlineStr">
        <is>
          <t>Turborepo/Nx; two repos</t>
        </is>
      </c>
      <c r="F38" s="13" t="inlineStr">
        <is>
          <t>NFR-MNT-01, NFR-MNT-03</t>
        </is>
      </c>
      <c r="G38" s="15" t="inlineStr">
        <is>
          <t>Proposed</t>
        </is>
      </c>
      <c r="H38" s="14" t="inlineStr">
        <is>
          <t>2026-09-24</t>
        </is>
      </c>
      <c r="I38" s="16" t="inlineStr"/>
    </row>
    <row r="39" ht="48" customHeight="1">
      <c r="A39" s="9" t="inlineStr">
        <is>
          <t>D-20</t>
        </is>
      </c>
      <c r="B39" s="9" t="inlineStr">
        <is>
          <t>Decision</t>
        </is>
      </c>
      <c r="C39" s="17" t="inlineStr">
        <is>
          <t>Deployment is Docker Compose now, then Vercel + Railway + Supabase on free tiers, with a verify-no-payment guardrail (ADR-0009).</t>
        </is>
      </c>
      <c r="D39" s="17" t="inlineStr">
        <is>
          <t>The primary run path (docker compose up) never depends on third parties, and the same images run in the cloud.</t>
        </is>
      </c>
      <c r="E39" s="17" t="inlineStr">
        <is>
          <t>Render-only; Vercel + Render + Neon</t>
        </is>
      </c>
      <c r="F39" s="17" t="inlineStr">
        <is>
          <t>NFR-POR-01, NFR-POR-04, DC-04, DR-11</t>
        </is>
      </c>
      <c r="G39" s="15" t="inlineStr">
        <is>
          <t>Confirmed</t>
        </is>
      </c>
      <c r="H39" s="9" t="inlineStr">
        <is>
          <t>2026-09-24</t>
        </is>
      </c>
      <c r="I39" s="16" t="inlineStr">
        <is>
          <t>Chosen by product owner in architecture session</t>
        </is>
      </c>
    </row>
    <row r="40" ht="33" customHeight="1">
      <c r="A40" s="14" t="inlineStr">
        <is>
          <t>D-21</t>
        </is>
      </c>
      <c r="B40" s="14" t="inlineStr">
        <is>
          <t>Decision</t>
        </is>
      </c>
      <c r="C40" s="13" t="inlineStr">
        <is>
          <t>Tests use Vitest + Supertest against a real PostgreSQL test DB (ADR-0011).</t>
        </is>
      </c>
      <c r="D40" s="13" t="inlineStr">
        <is>
          <t>Locks and constraints can only be proven against the real engine.</t>
        </is>
      </c>
      <c r="E40" s="13" t="inlineStr">
        <is>
          <t>Jest; mocks/SQLite; Testcontainers</t>
        </is>
      </c>
      <c r="F40" s="13" t="inlineStr">
        <is>
          <t>DR-10, NFR-MNT-04</t>
        </is>
      </c>
      <c r="G40" s="15" t="inlineStr">
        <is>
          <t>Proposed</t>
        </is>
      </c>
      <c r="H40" s="14" t="inlineStr">
        <is>
          <t>2026-09-24</t>
        </is>
      </c>
      <c r="I40" s="16" t="inlineStr"/>
    </row>
    <row r="41" ht="33" customHeight="1">
      <c r="A41" s="9" t="inlineStr">
        <is>
          <t>D-22</t>
        </is>
      </c>
      <c r="B41" s="9" t="inlineStr">
        <is>
          <t>Decision</t>
        </is>
      </c>
      <c r="C41" s="17" t="inlineStr">
        <is>
          <t>The frontend uses the Next.js App Router + TanStack Query (polling) + react-hook-form + Tailwind CSS (ADR-0012).</t>
        </is>
      </c>
      <c r="D41" s="17" t="inlineStr">
        <is>
          <t>Built-in loading/error states and polling; a small, maintainable UI stack.</t>
        </is>
      </c>
      <c r="E41" s="17" t="inlineStr">
        <is>
          <t>Vite + React Router; SWR; component libraries</t>
        </is>
      </c>
      <c r="F41" s="17" t="inlineStr">
        <is>
          <t>DC-01, FR-PAX-07, NFR-USA-01</t>
        </is>
      </c>
      <c r="G41" s="15" t="inlineStr">
        <is>
          <t>Proposed</t>
        </is>
      </c>
      <c r="H41" s="9" t="inlineStr">
        <is>
          <t>2026-09-24</t>
        </is>
      </c>
      <c r="I41" s="16" t="inlineStr"/>
    </row>
    <row r="42" ht="48" customHeight="1">
      <c r="A42" s="14" t="inlineStr">
        <is>
          <t>D-23</t>
        </is>
      </c>
      <c r="B42" s="14" t="inlineStr">
        <is>
          <t>Decision</t>
        </is>
      </c>
      <c r="C42" s="13" t="inlineStr">
        <is>
          <t>Schema choices: pool_members link table, pools.capacity snapshot, driver_profiles table, zone code natural key, UUID ids, polymorphic append-only status_history (ERD §8).</t>
        </is>
      </c>
      <c r="D42" s="13" t="inlineStr">
        <is>
          <t>Row-local CHECK for capacity, re-matching history, driver-only ownership that is structural.</t>
        </is>
      </c>
      <c r="E42" s="13" t="inlineStr">
        <is>
          <t>ride_requests.pool_id; capacity via trigger; driver columns on users</t>
        </is>
      </c>
      <c r="F42" s="13" t="inlineStr">
        <is>
          <t>FR-POOL-02, FR-POOL-10, FR-HIST-02</t>
        </is>
      </c>
      <c r="G42" s="15" t="inlineStr">
        <is>
          <t>Proposed</t>
        </is>
      </c>
      <c r="H42" s="14" t="inlineStr">
        <is>
          <t>2026-09-24</t>
        </is>
      </c>
      <c r="I42" s="16" t="inlineStr"/>
    </row>
    <row r="43" ht="33" customHeight="1">
      <c r="A43" s="9" t="inlineStr">
        <is>
          <t>P-01</t>
        </is>
      </c>
      <c r="B43" s="9" t="inlineStr">
        <is>
          <t>PRD inconsistency</t>
        </is>
      </c>
      <c r="C43" s="17" t="inlineStr">
        <is>
          <t>The PRD mandates a master branch, but the repository was initialised with main.</t>
        </is>
      </c>
      <c r="D43" s="17" t="inlineStr">
        <is>
          <t>Create master and use it as the integration branch (DR-01).</t>
        </is>
      </c>
      <c r="E43" s="17" t="n"/>
      <c r="F43" s="17" t="inlineStr">
        <is>
          <t>DR-01</t>
        </is>
      </c>
      <c r="G43" s="15" t="inlineStr">
        <is>
          <t>Resolved</t>
        </is>
      </c>
      <c r="H43" s="9" t="inlineStr">
        <is>
          <t>2026-09-23</t>
        </is>
      </c>
      <c r="I43" s="16" t="n"/>
    </row>
    <row r="44" ht="33" customHeight="1">
      <c r="A44" s="14" t="inlineStr">
        <is>
          <t>P-02</t>
        </is>
      </c>
      <c r="B44" s="14" t="inlineStr">
        <is>
          <t>PRD inconsistency</t>
        </is>
      </c>
      <c r="C44" s="13" t="inlineStr">
        <is>
          <t>PRD §18 refers to "the concurrency problem in Section 14". It is actually in §12.</t>
        </is>
      </c>
      <c r="D44" s="13" t="inlineStr">
        <is>
          <t>Treated as §12.</t>
        </is>
      </c>
      <c r="E44" s="13" t="n"/>
      <c r="F44" s="13" t="inlineStr">
        <is>
          <t>NFR-CON-01</t>
        </is>
      </c>
      <c r="G44" s="15" t="inlineStr">
        <is>
          <t>Resolved</t>
        </is>
      </c>
      <c r="H44" s="14" t="inlineStr">
        <is>
          <t>2026-09-23</t>
        </is>
      </c>
      <c r="I44" s="16" t="n"/>
    </row>
    <row r="45" ht="33" customHeight="1">
      <c r="A45" s="9" t="inlineStr">
        <is>
          <t>P-03</t>
        </is>
      </c>
      <c r="B45" s="9" t="inlineStr">
        <is>
          <t>PRD inconsistency</t>
        </is>
      </c>
      <c r="C45" s="17" t="inlineStr">
        <is>
          <t>The PRD lifecycle mixes passenger-level and trip-level states.</t>
        </is>
      </c>
      <c r="D45" s="17" t="inlineStr">
        <is>
          <t>Split into two state machines (D-12).</t>
        </is>
      </c>
      <c r="E45" s="17" t="n"/>
      <c r="F45" s="17" t="inlineStr">
        <is>
          <t>§5</t>
        </is>
      </c>
      <c r="G45" s="15" t="inlineStr">
        <is>
          <t>Resolved</t>
        </is>
      </c>
      <c r="H45" s="9" t="inlineStr">
        <is>
          <t>2026-09-23</t>
        </is>
      </c>
      <c r="I45" s="16" t="n"/>
    </row>
    <row r="46" ht="33" customHeight="1">
      <c r="A46" s="14" t="inlineStr">
        <is>
          <t>OI-01</t>
        </is>
      </c>
      <c r="B46" s="14" t="inlineStr">
        <is>
          <t>Open issue</t>
        </is>
      </c>
      <c r="C46" s="13" t="inlineStr">
        <is>
          <t>Choose the backend framework, ORM, auth mechanism, test framework, styling and hosting, each justified per DC-07.</t>
        </is>
      </c>
      <c r="D46" s="13" t="inlineStr">
        <is>
          <t>Resolved 2026-09-24: D-14…D-22, ADR-0001…0012</t>
        </is>
      </c>
      <c r="E46" s="13" t="n"/>
      <c r="F46" s="13" t="inlineStr">
        <is>
          <t>DC-07, DR-07</t>
        </is>
      </c>
      <c r="G46" s="15" t="inlineStr">
        <is>
          <t>Resolved</t>
        </is>
      </c>
      <c r="H46" s="14" t="inlineStr">
        <is>
          <t>2026-09-24</t>
        </is>
      </c>
      <c r="I46" s="16" t="n"/>
    </row>
    <row r="47" ht="48" customHeight="1">
      <c r="A47" s="9" t="inlineStr">
        <is>
          <t>OI-02</t>
        </is>
      </c>
      <c r="B47" s="9" t="inlineStr">
        <is>
          <t>Open issue</t>
        </is>
      </c>
      <c r="C47" s="17" t="inlineStr">
        <is>
          <t>Choose the concrete concurrency mechanism (pessimistic SELECT … FOR UPDATE versus a conditional update guarded by CHECK) and document it.</t>
        </is>
      </c>
      <c r="D47" s="17" t="inlineStr">
        <is>
          <t>Resolved 2026-09-24: row locks + CAS + constraints in layers (D-18, ADR-0006)</t>
        </is>
      </c>
      <c r="E47" s="17" t="n"/>
      <c r="F47" s="17" t="inlineStr">
        <is>
          <t>NFR-CON-03</t>
        </is>
      </c>
      <c r="G47" s="15" t="inlineStr">
        <is>
          <t>Resolved</t>
        </is>
      </c>
      <c r="H47" s="9" t="inlineStr">
        <is>
          <t>2026-09-24</t>
        </is>
      </c>
      <c r="I47" s="16" t="n"/>
    </row>
    <row r="48" ht="48" customHeight="1">
      <c r="A48" s="14" t="inlineStr">
        <is>
          <t>OI-03</t>
        </is>
      </c>
      <c r="B48" s="14" t="inlineStr">
        <is>
          <t>Open issue</t>
        </is>
      </c>
      <c r="C48" s="13" t="inlineStr">
        <is>
          <t>Decide whether the request-expiry sweeper runs as an in-process interval or lazily on read (NFR-REL-04 requires lazy correctness either way).</t>
        </is>
      </c>
      <c r="D48" s="13" t="inlineStr">
        <is>
          <t>Resolved 2026-09-24: expiry checked in accept CAS, plus 60 s in-process sweeper (D-18)</t>
        </is>
      </c>
      <c r="E48" s="13" t="n"/>
      <c r="F48" s="13" t="inlineStr">
        <is>
          <t>NFR-REL-04</t>
        </is>
      </c>
      <c r="G48" s="15" t="inlineStr">
        <is>
          <t>Resolved</t>
        </is>
      </c>
      <c r="H48" s="14" t="inlineStr">
        <is>
          <t>2026-09-24</t>
        </is>
      </c>
      <c r="I48" s="16" t="n"/>
    </row>
  </sheetData>
  <autoFilter ref="A1:I48"/>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Not Started</t>
        </is>
      </c>
      <c r="H4" s="16" t="inlineStr"/>
      <c r="I4" s="16" t="inlineStr"/>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Not Started</t>
        </is>
      </c>
      <c r="H5" s="16" t="inlineStr"/>
      <c r="I5" s="16" t="inlineStr"/>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Not Started</t>
        </is>
      </c>
      <c r="H6" s="16" t="inlineStr"/>
      <c r="I6" s="16" t="inlineStr"/>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t>
        </is>
      </c>
      <c r="E7" s="17" t="inlineStr">
        <is>
          <t>feat(db): add schema migrations with capacity and uniqueness constraints</t>
        </is>
      </c>
      <c r="F7" s="9" t="n">
        <v>6</v>
      </c>
      <c r="G7" s="15" t="inlineStr">
        <is>
          <t>Not Started</t>
        </is>
      </c>
      <c r="H7" s="16" t="inlineStr"/>
      <c r="I7" s="16" t="inlineStr"/>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Not Started</t>
        </is>
      </c>
      <c r="H8" s="16" t="inlineStr"/>
      <c r="I8" s="16" t="inlineStr"/>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Not Started</t>
        </is>
      </c>
      <c r="H9" s="16" t="inlineStr"/>
      <c r="I9" s="16" t="inlineStr"/>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Not Started</t>
        </is>
      </c>
      <c r="H10" s="16" t="inlineStr"/>
      <c r="I10" s="16" t="inlineStr"/>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Not Started</t>
        </is>
      </c>
      <c r="H11" s="16" t="inlineStr"/>
      <c r="I11" s="16" t="inlineStr"/>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Not Started</t>
        </is>
      </c>
      <c r="H12" s="16" t="inlineStr"/>
      <c r="I12" s="16" t="inlineStr"/>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Not Started</t>
        </is>
      </c>
      <c r="H13" s="16" t="inlineStr"/>
      <c r="I13" s="16" t="inlineStr"/>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t>
        </is>
      </c>
      <c r="E14" s="13" t="inlineStr">
        <is>
          <t>feat(ride): add passenger ride request lifecycle endpoints</t>
        </is>
      </c>
      <c r="F14" s="14" t="n">
        <v>6</v>
      </c>
      <c r="G14" s="15" t="inlineStr">
        <is>
          <t>Not Started</t>
        </is>
      </c>
      <c r="H14" s="16" t="inlineStr"/>
      <c r="I14" s="16" t="inlineStr"/>
    </row>
    <row r="15" ht="33" customHeight="1">
      <c r="A15" s="9" t="inlineStr">
        <is>
          <t>T-14</t>
        </is>
      </c>
      <c r="B15" s="17" t="inlineStr">
        <is>
          <t>feature/driver-flow</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Not Started</t>
        </is>
      </c>
      <c r="H15" s="16" t="inlineStr"/>
      <c r="I15" s="16" t="inlineStr"/>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t>
        </is>
      </c>
      <c r="E16" s="13" t="inlineStr">
        <is>
          <t>feat(pool): enforce Bullet's seat capacity when accepting requests</t>
        </is>
      </c>
      <c r="F16" s="14" t="n">
        <v>6</v>
      </c>
      <c r="G16" s="15" t="inlineStr">
        <is>
          <t>Not Started</t>
        </is>
      </c>
      <c r="H16" s="16" t="inlineStr"/>
      <c r="I16" s="16" t="inlineStr"/>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Not Started</t>
        </is>
      </c>
      <c r="H17" s="16" t="inlineStr"/>
      <c r="I17" s="16" t="inlineStr"/>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t>
        </is>
      </c>
      <c r="E18" s="13" t="inlineStr">
        <is>
          <t>feat(driver): add arrive, start and drop-off trip actions</t>
        </is>
      </c>
      <c r="F18" s="14" t="n">
        <v>6</v>
      </c>
      <c r="G18" s="15" t="inlineStr">
        <is>
          <t>Not Started</t>
        </is>
      </c>
      <c r="H18" s="16" t="inlineStr"/>
      <c r="I18" s="16" t="inlineStr"/>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Not Started</t>
        </is>
      </c>
      <c r="H19" s="16" t="inlineStr"/>
      <c r="I19" s="16" t="inlineStr"/>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COUNTIF(Requirements_RTM!$P$2:$P$138,"*,"&amp;A2&amp;",*")</f>
        <v/>
      </c>
      <c r="D2" s="13" t="inlineStr"/>
      <c r="E2" s="14">
        <f>IF(C2&gt;0,"Covered",IF(D2&lt;&gt;"","Covered (see note)","GAP"))</f>
        <v/>
      </c>
    </row>
    <row r="3" ht="18" customHeight="1">
      <c r="A3" s="9" t="n">
        <v>2</v>
      </c>
      <c r="B3" s="17" t="inlineStr">
        <is>
          <t>The Product Problem</t>
        </is>
      </c>
      <c r="C3" s="9">
        <f>COUNTIF(Requirements_RTM!$P$2:$P$138,"*,"&amp;A3&amp;",*")</f>
        <v/>
      </c>
      <c r="D3" s="17" t="inlineStr"/>
      <c r="E3" s="9">
        <f>IF(C3&gt;0,"Covered",IF(D3&lt;&gt;"","Covered (see note)","GAP"))</f>
        <v/>
      </c>
    </row>
    <row r="4" ht="18" customHeight="1">
      <c r="A4" s="14" t="n">
        <v>3</v>
      </c>
      <c r="B4" s="13" t="inlineStr">
        <is>
          <t>Your Mission: Build the MVP</t>
        </is>
      </c>
      <c r="C4" s="14">
        <f>COUNTIF(Requirements_RTM!$P$2:$P$138,"*,"&amp;A4&amp;",*")</f>
        <v/>
      </c>
      <c r="D4" s="13" t="inlineStr"/>
      <c r="E4" s="14">
        <f>IF(C4&gt;0,"Covered",IF(D4&lt;&gt;"","Covered (see note)","GAP"))</f>
        <v/>
      </c>
    </row>
    <row r="5" ht="18" customHeight="1">
      <c r="A5" s="9" t="n">
        <v>4</v>
      </c>
      <c r="B5" s="17" t="inlineStr">
        <is>
          <t>Keeping Geography Simple</t>
        </is>
      </c>
      <c r="C5" s="9">
        <f>COUNTIF(Requirements_RTM!$P$2:$P$138,"*,"&amp;A5&amp;",*")</f>
        <v/>
      </c>
      <c r="D5" s="17" t="inlineStr"/>
      <c r="E5" s="9">
        <f>IF(C5&gt;0,"Covered",IF(D5&lt;&gt;"","Covered (see note)","GAP"))</f>
        <v/>
      </c>
    </row>
    <row r="6" ht="18" customHeight="1">
      <c r="A6" s="14" t="n">
        <v>5</v>
      </c>
      <c r="B6" s="13" t="inlineStr">
        <is>
          <t>Fare Model</t>
        </is>
      </c>
      <c r="C6" s="14">
        <f>COUNTIF(Requirements_RTM!$P$2:$P$138,"*,"&amp;A6&amp;",*")</f>
        <v/>
      </c>
      <c r="D6" s="13" t="inlineStr"/>
      <c r="E6" s="14">
        <f>IF(C6&gt;0,"Covered",IF(D6&lt;&gt;"","Covered (see note)","GAP"))</f>
        <v/>
      </c>
    </row>
    <row r="7" ht="18" customHeight="1">
      <c r="A7" s="9" t="n">
        <v>6</v>
      </c>
      <c r="B7" s="17" t="inlineStr">
        <is>
          <t>Technical Scope &amp; Mandated Stack</t>
        </is>
      </c>
      <c r="C7" s="9">
        <f>COUNTIF(Requirements_RTM!$P$2:$P$138,"*,"&amp;A7&amp;",*")</f>
        <v/>
      </c>
      <c r="D7" s="17" t="inlineStr"/>
      <c r="E7" s="9">
        <f>IF(C7&gt;0,"Covered",IF(D7&lt;&gt;"","Covered (see note)","GAP"))</f>
        <v/>
      </c>
    </row>
    <row r="8" ht="18" customHeight="1">
      <c r="A8" s="14" t="n">
        <v>7</v>
      </c>
      <c r="B8" s="13" t="inlineStr">
        <is>
          <t>Technology Choice &amp; Justification</t>
        </is>
      </c>
      <c r="C8" s="14">
        <f>COUNTIF(Requirements_RTM!$P$2:$P$138,"*,"&amp;A8&amp;",*")</f>
        <v/>
      </c>
      <c r="D8" s="13" t="inlineStr"/>
      <c r="E8" s="14">
        <f>IF(C8&gt;0,"Covered",IF(D8&lt;&gt;"","Covered (see note)","GAP"))</f>
        <v/>
      </c>
    </row>
    <row r="9" ht="18" customHeight="1">
      <c r="A9" s="9" t="n">
        <v>8</v>
      </c>
      <c r="B9" s="17" t="inlineStr">
        <is>
          <t>AI Usage Policy</t>
        </is>
      </c>
      <c r="C9" s="9">
        <f>COUNTIF(Requirements_RTM!$P$2:$P$138,"*,"&amp;A9&amp;",*")</f>
        <v/>
      </c>
      <c r="D9" s="17" t="inlineStr"/>
      <c r="E9" s="9">
        <f>IF(C9&gt;0,"Covered",IF(D9&lt;&gt;"","Covered (see note)","GAP"))</f>
        <v/>
      </c>
    </row>
    <row r="10" ht="18" customHeight="1">
      <c r="A10" s="14" t="n">
        <v>9</v>
      </c>
      <c r="B10" s="13" t="inlineStr">
        <is>
          <t>Architecture First</t>
        </is>
      </c>
      <c r="C10" s="14">
        <f>COUNTIF(Requirements_RTM!$P$2:$P$138,"*,"&amp;A10&amp;",*")</f>
        <v/>
      </c>
      <c r="D10" s="13" t="inlineStr"/>
      <c r="E10" s="14">
        <f>IF(C10&gt;0,"Covered",IF(D10&lt;&gt;"","Covered (see note)","GAP"))</f>
        <v/>
      </c>
    </row>
    <row r="11" ht="18" customHeight="1">
      <c r="A11" s="9" t="n">
        <v>10</v>
      </c>
      <c r="B11" s="17" t="inlineStr">
        <is>
          <t>Git Workflow</t>
        </is>
      </c>
      <c r="C11" s="9">
        <f>COUNTIF(Requirements_RTM!$P$2:$P$138,"*,"&amp;A11&amp;",*")</f>
        <v/>
      </c>
      <c r="D11" s="17" t="inlineStr"/>
      <c r="E11" s="9">
        <f>IF(C11&gt;0,"Covered",IF(D11&lt;&gt;"","Covered (see note)","GAP"))</f>
        <v/>
      </c>
    </row>
    <row r="12" ht="18" customHeight="1">
      <c r="A12" s="14" t="n">
        <v>11</v>
      </c>
      <c r="B12" s="13" t="inlineStr">
        <is>
          <t>Commit Message Rules</t>
        </is>
      </c>
      <c r="C12" s="14">
        <f>COUNTIF(Requirements_RTM!$P$2:$P$138,"*,"&amp;A12&amp;",*")</f>
        <v/>
      </c>
      <c r="D12" s="13" t="inlineStr"/>
      <c r="E12" s="14">
        <f>IF(C12&gt;0,"Covered",IF(D12&lt;&gt;"","Covered (see note)","GAP"))</f>
        <v/>
      </c>
    </row>
    <row r="13" ht="18" customHeight="1">
      <c r="A13" s="9" t="n">
        <v>12</v>
      </c>
      <c r="B13" s="17" t="inlineStr">
        <is>
          <t>README, Testing, Concurrency &amp; Bonus</t>
        </is>
      </c>
      <c r="C13" s="9">
        <f>COUNTIF(Requirements_RTM!$P$2:$P$138,"*,"&amp;A13&amp;",*")</f>
        <v/>
      </c>
      <c r="D13" s="17" t="inlineStr"/>
      <c r="E13" s="9">
        <f>IF(C13&gt;0,"Covered",IF(D13&lt;&gt;"","Covered (see note)","GAP"))</f>
        <v/>
      </c>
    </row>
    <row r="14" ht="18" customHeight="1">
      <c r="A14" s="14" t="n">
        <v>13</v>
      </c>
      <c r="B14" s="13" t="inlineStr">
        <is>
          <t>Six-Minute Final Video</t>
        </is>
      </c>
      <c r="C14" s="14">
        <f>COUNTIF(Requirements_RTM!$P$2:$P$138,"*,"&amp;A14&amp;",*")</f>
        <v/>
      </c>
      <c r="D14" s="13" t="inlineStr"/>
      <c r="E14" s="14">
        <f>IF(C14&gt;0,"Covered",IF(D14&lt;&gt;"","Covered (see note)","GAP"))</f>
        <v/>
      </c>
    </row>
    <row r="15" ht="18" customHeight="1">
      <c r="A15" s="9" t="n">
        <v>14</v>
      </c>
      <c r="B15" s="17" t="inlineStr">
        <is>
          <t>Submission Checklist</t>
        </is>
      </c>
      <c r="C15" s="9">
        <f>COUNTIF(Requirements_RTM!$P$2:$P$138,"*,"&amp;A15&amp;",*")</f>
        <v/>
      </c>
      <c r="D15" s="17" t="inlineStr"/>
      <c r="E15" s="9">
        <f>IF(C15&gt;0,"Covered",IF(D15&lt;&gt;"","Covered (see note)","GAP"))</f>
        <v/>
      </c>
    </row>
    <row r="16" ht="18" customHeight="1">
      <c r="A16" s="14" t="n">
        <v>15</v>
      </c>
      <c r="B16" s="13" t="inlineStr">
        <is>
          <t>What We Will Evaluate</t>
        </is>
      </c>
      <c r="C16" s="14">
        <f>COUNTIF(Requirements_RTM!$P$2:$P$138,"*,"&amp;A16&amp;",*")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COUNTIF(Requirements_RTM!$P$2:$P$138,"*,"&amp;A17&amp;",*")</f>
        <v/>
      </c>
      <c r="D17" s="17" t="inlineStr"/>
      <c r="E17" s="9">
        <f>IF(C17&gt;0,"Covered",IF(D17&lt;&gt;"","Covered (see note)","GAP"))</f>
        <v/>
      </c>
    </row>
    <row r="18" ht="18" customHeight="1">
      <c r="A18" s="14" t="n">
        <v>17</v>
      </c>
      <c r="B18" s="13" t="inlineStr">
        <is>
          <t>Assumptions Are Allowed</t>
        </is>
      </c>
      <c r="C18" s="14">
        <f>COUNTIF(Requirements_RTM!$P$2:$P$138,"*,"&amp;A18&amp;",*")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COUNTIF(Requirements_RTM!$P$2:$P$138,"*,"&amp;A19&amp;",*")</f>
        <v/>
      </c>
      <c r="D19" s="17" t="inlineStr"/>
      <c r="E19" s="9">
        <f>IF(C19&gt;0,"Covered",IF(D19&lt;&gt;"","Covered (see note)","GAP"))</f>
        <v/>
      </c>
    </row>
    <row r="20" ht="18" customHeight="1">
      <c r="A20" s="14" t="n">
        <v>19</v>
      </c>
      <c r="B20" s="13" t="inlineStr">
        <is>
          <t>Final Note From RoBenDevs</t>
        </is>
      </c>
      <c r="C20" s="14">
        <f>COUNTIF(Requirements_RTM!$P$2:$P$138,"*,"&amp;A20&amp;",*")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2026-09-23T20:56:15Z</dcterms:modified>
</cp:coreProperties>
</file>