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quirements_RTM" sheetId="2" state="visible" r:id="rId2"/>
    <sheet xmlns:r="http://schemas.openxmlformats.org/officeDocument/2006/relationships" name="Test_Cases" sheetId="3" state="visible" r:id="rId3"/>
    <sheet xmlns:r="http://schemas.openxmlformats.org/officeDocument/2006/relationships" name="Assumptions_Decisions" sheetId="4" state="visible" r:id="rId4"/>
    <sheet xmlns:r="http://schemas.openxmlformats.org/officeDocument/2006/relationships" name="Implementation_Tasks" sheetId="5" state="visible" r:id="rId5"/>
    <sheet xmlns:r="http://schemas.openxmlformats.org/officeDocument/2006/relationships" name="State_Transitions" sheetId="6" state="visible" r:id="rId6"/>
    <sheet xmlns:r="http://schemas.openxmlformats.org/officeDocument/2006/relationships" name="Zones_Distances" sheetId="7" state="visible" r:id="rId7"/>
    <sheet xmlns:r="http://schemas.openxmlformats.org/officeDocument/2006/relationships" name="Fare_Calculator" sheetId="8" state="visible" r:id="rId8"/>
    <sheet xmlns:r="http://schemas.openxmlformats.org/officeDocument/2006/relationships" name="Glossary" sheetId="9" state="visible" r:id="rId9"/>
    <sheet xmlns:r="http://schemas.openxmlformats.org/officeDocument/2006/relationships" name="PRD_Coverage" sheetId="10" state="visible" r:id="rId10"/>
  </sheets>
  <definedNames>
    <definedName name="_xlnm._FilterDatabase" localSheetId="1" hidden="1">'Requirements_RTM'!$A$1:$O$142</definedName>
    <definedName name="_xlnm._FilterDatabase" localSheetId="2" hidden="1">'Test_Cases'!$A$1:$K$52</definedName>
    <definedName name="_xlnm._FilterDatabase" localSheetId="3" hidden="1">'Assumptions_Decisions'!$A$1:$I$52</definedName>
    <definedName name="_xlnm._FilterDatabase" localSheetId="4" hidden="1">'Implementation_Tasks'!$A$1:$I$28</definedName>
    <definedName name="_xlnm._FilterDatabase" localSheetId="5" hidden="1">'State_Transitions'!$A$1:$G$18</definedName>
    <definedName name="_xlnm._FilterDatabase" localSheetId="8" hidden="1">'Glossary'!$A$1:$B$16</definedName>
    <definedName name="_xlnm._FilterDatabase" localSheetId="9" hidden="1">'PRD_Coverage'!$A$1:$E$20</definedName>
  </definedNames>
  <calcPr calcId="124519" fullCalcOnLoad="1"/>
</workbook>
</file>

<file path=xl/styles.xml><?xml version="1.0" encoding="utf-8"?>
<styleSheet xmlns="http://schemas.openxmlformats.org/spreadsheetml/2006/main">
  <numFmts count="3">
    <numFmt numFmtId="164" formatCode="0.0000"/>
    <numFmt numFmtId="165" formatCode="0.0"/>
    <numFmt numFmtId="166" formatCode="&quot;৳&quot;#,##0.00"/>
  </numFmts>
  <fonts count="10">
    <font>
      <name val="Calibri"/>
      <family val="2"/>
      <color theme="1"/>
      <sz val="11"/>
      <scheme val="minor"/>
    </font>
    <font>
      <name val="Arial"/>
      <b val="1"/>
      <color rgb="00FFFFFF"/>
      <sz val="10"/>
    </font>
    <font>
      <name val="Arial"/>
      <sz val="10"/>
    </font>
    <font>
      <name val="Arial"/>
      <b val="1"/>
      <sz val="10"/>
    </font>
    <font>
      <name val="Arial"/>
      <i val="1"/>
      <sz val="9"/>
    </font>
    <font>
      <name val="Arial"/>
      <b val="1"/>
      <color rgb="001F4E5A"/>
      <sz val="11"/>
    </font>
    <font>
      <name val="Arial"/>
      <color rgb="00A6A6A6"/>
      <sz val="10"/>
    </font>
    <font>
      <name val="Arial"/>
      <color rgb="000000FF"/>
      <sz val="10"/>
    </font>
    <font>
      <name val="Arial"/>
      <b val="1"/>
      <color rgb="001F4E5A"/>
      <sz val="16"/>
    </font>
    <font>
      <name val="Arial"/>
      <i val="1"/>
      <color rgb="00595959"/>
      <sz val="10"/>
    </font>
  </fonts>
  <fills count="7">
    <fill>
      <patternFill/>
    </fill>
    <fill>
      <patternFill patternType="gray125"/>
    </fill>
    <fill>
      <patternFill patternType="solid">
        <fgColor rgb="001F4E5A"/>
      </patternFill>
    </fill>
    <fill>
      <patternFill patternType="solid">
        <fgColor rgb="00F3F7F8"/>
      </patternFill>
    </fill>
    <fill>
      <patternFill patternType="solid">
        <fgColor rgb="00FFF2CC"/>
      </patternFill>
    </fill>
    <fill>
      <patternFill patternType="solid">
        <fgColor rgb="00F2F2F2"/>
      </patternFill>
    </fill>
    <fill>
      <patternFill patternType="solid">
        <fgColor rgb="00C6EFCE"/>
      </patternFill>
    </fill>
  </fills>
  <borders count="2">
    <border>
      <left/>
      <right/>
      <top/>
      <bottom/>
      <diagonal/>
    </border>
    <border>
      <left style="thin">
        <color rgb="00C9D3D6"/>
      </left>
      <right style="thin">
        <color rgb="00C9D3D6"/>
      </right>
      <top style="thin">
        <color rgb="00C9D3D6"/>
      </top>
      <bottom style="thin">
        <color rgb="00C9D3D6"/>
      </bottom>
    </border>
  </borders>
  <cellStyleXfs count="1">
    <xf numFmtId="0" fontId="0" fillId="0" borderId="0"/>
  </cellStyleXfs>
  <cellXfs count="33">
    <xf numFmtId="0" fontId="0" fillId="0" borderId="0" pivotButton="0" quotePrefix="0" xfId="0"/>
    <xf numFmtId="0" fontId="8" fillId="0" borderId="0" pivotButton="0" quotePrefix="0" xfId="0"/>
    <xf numFmtId="0" fontId="9" fillId="0" borderId="0" pivotButton="0" quotePrefix="0" xfId="0"/>
    <xf numFmtId="0" fontId="3" fillId="0" borderId="0" pivotButton="0" quotePrefix="0" xfId="0"/>
    <xf numFmtId="0" fontId="2" fillId="0" borderId="0" pivotButton="0" quotePrefix="0" xfId="0"/>
    <xf numFmtId="0" fontId="5" fillId="0" borderId="0" pivotButton="0" quotePrefix="0" xfId="0"/>
    <xf numFmtId="0" fontId="2" fillId="0" borderId="0" applyAlignment="1" pivotButton="0" quotePrefix="0" xfId="0">
      <alignment vertical="top" wrapText="1"/>
    </xf>
    <xf numFmtId="0" fontId="1" fillId="2" borderId="1" applyAlignment="1" pivotButton="0" quotePrefix="0" xfId="0">
      <alignment horizontal="center" vertical="top" wrapText="1"/>
    </xf>
    <xf numFmtId="0" fontId="2" fillId="0" borderId="1" pivotButton="0" quotePrefix="0" xfId="0"/>
    <xf numFmtId="0" fontId="2" fillId="0" borderId="1" applyAlignment="1" pivotButton="0" quotePrefix="0" xfId="0">
      <alignment horizontal="center" vertical="top" wrapText="1"/>
    </xf>
    <xf numFmtId="0" fontId="3" fillId="0" borderId="1" pivotButton="0" quotePrefix="0" xfId="0"/>
    <xf numFmtId="0" fontId="3" fillId="0" borderId="1" applyAlignment="1" pivotButton="0" quotePrefix="0" xfId="0">
      <alignment horizontal="center" vertical="top" wrapText="1"/>
    </xf>
    <xf numFmtId="0" fontId="1" fillId="2" borderId="0" pivotButton="0" quotePrefix="0" xfId="0"/>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4" fillId="0" borderId="0" pivotButton="0" quotePrefix="0" xfId="0"/>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164" fontId="2" fillId="0" borderId="1" pivotButton="0" quotePrefix="0" xfId="0"/>
    <xf numFmtId="165" fontId="6" fillId="0" borderId="1" applyAlignment="1" pivotButton="0" quotePrefix="0" xfId="0">
      <alignment horizontal="center" vertical="top" wrapText="1"/>
    </xf>
    <xf numFmtId="165" fontId="7" fillId="0" borderId="1" applyAlignment="1" pivotButton="0" quotePrefix="0" xfId="0">
      <alignment horizontal="center" vertical="top" wrapText="1"/>
    </xf>
    <xf numFmtId="0" fontId="4" fillId="0" borderId="0" applyAlignment="1" pivotButton="0" quotePrefix="0" xfId="0">
      <alignment vertical="top" wrapText="1"/>
    </xf>
    <xf numFmtId="3" fontId="7" fillId="0" borderId="1" pivotButton="0" quotePrefix="0" xfId="0"/>
    <xf numFmtId="0" fontId="7" fillId="0" borderId="1" applyAlignment="1" pivotButton="0" quotePrefix="0" xfId="0">
      <alignment horizontal="center" vertical="top" wrapText="1"/>
    </xf>
    <xf numFmtId="3" fontId="2" fillId="0" borderId="1" applyAlignment="1" pivotButton="0" quotePrefix="0" xfId="0">
      <alignment horizontal="center" vertical="top" wrapText="1"/>
    </xf>
    <xf numFmtId="166" fontId="2" fillId="0" borderId="1" applyAlignment="1" pivotButton="0" quotePrefix="0" xfId="0">
      <alignment horizontal="center" vertical="top" wrapText="1"/>
    </xf>
    <xf numFmtId="3" fontId="7" fillId="0" borderId="1" applyAlignment="1" pivotButton="0" quotePrefix="0" xfId="0">
      <alignment horizontal="center" vertical="top" wrapText="1"/>
    </xf>
    <xf numFmtId="0" fontId="7" fillId="4" borderId="1" applyAlignment="1" pivotButton="0" quotePrefix="0" xfId="0">
      <alignment horizontal="center" vertical="top" wrapText="1"/>
    </xf>
    <xf numFmtId="166" fontId="0" fillId="0" borderId="0" pivotButton="0" quotePrefix="0" xfId="0"/>
    <xf numFmtId="0" fontId="7" fillId="0" borderId="0" pivotButton="0" quotePrefix="0" xfId="0"/>
  </cellXfs>
  <cellStyles count="1">
    <cellStyle name="Normal" xfId="0" builtinId="0" hidden="0"/>
  </cellStyles>
  <dxfs count="8">
    <dxf>
      <fill>
        <patternFill patternType="solid">
          <fgColor rgb="00C6EFCE"/>
          <bgColor rgb="00C6EFCE"/>
        </patternFill>
      </fill>
    </dxf>
    <dxf>
      <fill>
        <patternFill patternType="solid">
          <fgColor rgb="00FFC7CE"/>
          <bgColor rgb="00FFC7CE"/>
        </patternFill>
      </fill>
    </dxf>
    <dxf>
      <fill>
        <patternFill patternType="solid">
          <fgColor rgb="00EDEDED"/>
          <bgColor rgb="00EDEDED"/>
        </patternFill>
      </fill>
    </dxf>
    <dxf>
      <fill>
        <patternFill patternType="solid">
          <fgColor rgb="00DDEBF7"/>
          <bgColor rgb="00DDEBF7"/>
        </patternFill>
      </fill>
    </dxf>
    <dxf>
      <fill>
        <patternFill patternType="solid">
          <fgColor rgb="00FFF2CC"/>
          <bgColor rgb="00FFF2CC"/>
        </patternFill>
      </fill>
    </dxf>
    <dxf>
      <fill>
        <patternFill patternType="solid">
          <fgColor rgb="00E2EFDA"/>
          <bgColor rgb="00E2EFDA"/>
        </patternFill>
      </fill>
    </dxf>
    <dxf>
      <fill>
        <patternFill patternType="solid">
          <fgColor rgb="00F8CBAD"/>
          <bgColor rgb="00F8CBAD"/>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Tracker</author>
  </authors>
  <commentList>
    <comment ref="M1" authorId="0" shapeId="0">
      <text>
        <t>Editable. Update as work progresses: Approved after SRS review, Implemented when merged to master, Verified when linked tests pass.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1F4E5A"/>
    <outlinePr summaryBelow="1" summaryRight="1"/>
    <pageSetUpPr/>
  </sheetPr>
  <dimension ref="B2:I45"/>
  <sheetViews>
    <sheetView showGridLines="0" workbookViewId="0">
      <selection activeCell="A1" sqref="A1"/>
    </sheetView>
  </sheetViews>
  <sheetFormatPr baseColWidth="8" defaultRowHeight="15"/>
  <cols>
    <col width="2" customWidth="1" min="1" max="1"/>
    <col width="46" customWidth="1" min="2" max="2"/>
    <col width="16" customWidth="1" min="3" max="3"/>
    <col width="14" customWidth="1" min="4" max="4"/>
    <col width="14" customWidth="1" min="5" max="5"/>
    <col width="12" customWidth="1" min="6" max="6"/>
    <col width="4" customWidth="1" min="7" max="7"/>
    <col width="14" customWidth="1" min="8" max="8"/>
    <col width="10" customWidth="1" min="9" max="9"/>
    <col width="4" customWidth="1" min="10" max="10"/>
  </cols>
  <sheetData>
    <row r="2">
      <c r="B2" s="1" t="inlineStr">
        <is>
          <t>Dhaka Tesla Pool — SRS Traceability Tracker</t>
        </is>
      </c>
    </row>
    <row r="3">
      <c r="B3" s="2" t="inlineStr">
        <is>
          <t>Share a seat. Split the fare. Survive Dhaka traffic.</t>
        </is>
      </c>
    </row>
    <row r="5">
      <c r="B5" s="3" t="inlineStr">
        <is>
          <t>Document</t>
        </is>
      </c>
      <c r="C5" s="4" t="inlineStr">
        <is>
          <t>DTP-SRS-001 — docs/SRS.md (ISO/IEC/IEEE 29148:2018, tailored)</t>
        </is>
      </c>
    </row>
    <row r="6">
      <c r="B6" s="3" t="inlineStr">
        <is>
          <t>SRS version</t>
        </is>
      </c>
      <c r="C6" s="4" t="inlineStr">
        <is>
          <t>0.3 (Draft for review) — see SRS revision history</t>
        </is>
      </c>
    </row>
    <row r="7">
      <c r="B7" s="3" t="inlineStr">
        <is>
          <t>Author</t>
        </is>
      </c>
      <c r="C7" s="4" t="inlineStr">
        <is>
          <t>Golam Mahadi Ahmed</t>
        </is>
      </c>
    </row>
    <row r="8">
      <c r="B8" s="3" t="inlineStr">
        <is>
          <t>Created</t>
        </is>
      </c>
      <c r="C8" s="4" t="inlineStr">
        <is>
          <t>2026-09-23</t>
        </is>
      </c>
    </row>
    <row r="9">
      <c r="B9" s="3" t="inlineStr">
        <is>
          <t>Source brief</t>
        </is>
      </c>
      <c r="C9" s="4" t="inlineStr">
        <is>
          <t>Dhaka_Tesla_Pool_PRD_Internship.pdf (RoBenDevs)</t>
        </is>
      </c>
    </row>
    <row r="10">
      <c r="B10" s="3" t="inlineStr">
        <is>
          <t>Last updated</t>
        </is>
      </c>
      <c r="C10" s="4" t="inlineStr">
        <is>
          <t>2026-09-24 — Phase 4 (feature/ride-request): state machines, audit trail, ride requests, expiry, unmatched cancellation</t>
        </is>
      </c>
    </row>
    <row r="11">
      <c r="B11" s="5" t="inlineStr">
        <is>
          <t>How to maintain this workbook</t>
        </is>
      </c>
    </row>
    <row r="12" ht="26" customHeight="1">
      <c r="B12" s="4" t="inlineStr">
        <is>
          <t>•</t>
        </is>
      </c>
      <c r="C12" s="6" t="inlineStr">
        <is>
          <t>Requirement text lives in docs/SRS.md; change it there first, then mirror the row here (same ID).</t>
        </is>
      </c>
    </row>
    <row r="13" ht="26" customHeight="1">
      <c r="B13" s="4" t="inlineStr">
        <is>
          <t>•</t>
        </is>
      </c>
      <c r="C13" s="6" t="inlineStr">
        <is>
          <t>Yellow cells are the ones to edit: Status, Evidence and Notes columns on each sheet (dropdowns enforce allowed values).</t>
        </is>
      </c>
    </row>
    <row r="14" ht="26" customHeight="1">
      <c r="B14" s="4" t="inlineStr">
        <is>
          <t>•</t>
        </is>
      </c>
      <c r="C14" s="6" t="inlineStr">
        <is>
          <t>Requirement status flow: Proposed → Approved (SRS reviewed) → In Progress → Implemented (merged to master) → Verified (linked tests pass).</t>
        </is>
      </c>
    </row>
    <row r="15" ht="26" customHeight="1">
      <c r="B15" s="4" t="inlineStr">
        <is>
          <t>•</t>
        </is>
      </c>
      <c r="C15" s="6" t="inlineStr">
        <is>
          <t>When a test is written, set Test_Cases.Status and put the test file path in 'Test file / evidence'.</t>
        </is>
      </c>
    </row>
    <row r="16" ht="26" customHeight="1">
      <c r="B16" s="4" t="inlineStr">
        <is>
          <t>•</t>
        </is>
      </c>
      <c r="C16" s="6" t="inlineStr">
        <is>
          <t>When a task is merged, set Implementation_Tasks.Status = Done and paste the commit hash / PR link.</t>
        </is>
      </c>
    </row>
    <row r="17" ht="26" customHeight="1">
      <c r="B17" s="4" t="inlineStr">
        <is>
          <t>•</t>
        </is>
      </c>
      <c r="C17" s="6" t="inlineStr">
        <is>
          <t>Never reuse or delete an ID — set Status = Withdrawn instead. Blue numbers on Zones_Distances / Fare_Calculator are reference inputs.</t>
        </is>
      </c>
    </row>
    <row r="19">
      <c r="B19" s="5" t="inlineStr">
        <is>
          <t>Requirements by type</t>
        </is>
      </c>
      <c r="F19" s="5" t="inlineStr">
        <is>
          <t>By priority</t>
        </is>
      </c>
    </row>
    <row r="20">
      <c r="B20" s="7" t="inlineStr">
        <is>
          <t>Type</t>
        </is>
      </c>
      <c r="C20" s="7" t="inlineStr">
        <is>
          <t>Count</t>
        </is>
      </c>
      <c r="D20" s="7" t="inlineStr">
        <is>
          <t>of which Must</t>
        </is>
      </c>
      <c r="F20" s="7" t="inlineStr">
        <is>
          <t>Priority</t>
        </is>
      </c>
      <c r="G20" s="7" t="inlineStr">
        <is>
          <t>Count</t>
        </is>
      </c>
    </row>
    <row r="21">
      <c r="B21" s="8" t="inlineStr">
        <is>
          <t>FR — Functional</t>
        </is>
      </c>
      <c r="C21" s="9">
        <f>COUNTIF(Requirements_RTM!$B$2:$B$142,"FR")</f>
        <v/>
      </c>
      <c r="D21" s="9">
        <f>COUNTIFS(Requirements_RTM!$B$2:$B$142,"FR",Requirements_RTM!$E$2:$E$142,"M")</f>
        <v/>
      </c>
      <c r="F21" s="8" t="inlineStr">
        <is>
          <t>M</t>
        </is>
      </c>
      <c r="G21" s="9">
        <f>COUNTIF(Requirements_RTM!$E$2:$E$142,"M")</f>
        <v/>
      </c>
    </row>
    <row r="22">
      <c r="B22" s="8" t="inlineStr">
        <is>
          <t>BR — Business rule</t>
        </is>
      </c>
      <c r="C22" s="9">
        <f>COUNTIF(Requirements_RTM!$B$2:$B$142,"BR")</f>
        <v/>
      </c>
      <c r="D22" s="9">
        <f>COUNTIFS(Requirements_RTM!$B$2:$B$142,"BR",Requirements_RTM!$E$2:$E$142,"M")</f>
        <v/>
      </c>
      <c r="F22" s="8" t="inlineStr">
        <is>
          <t>S</t>
        </is>
      </c>
      <c r="G22" s="9">
        <f>COUNTIF(Requirements_RTM!$E$2:$E$142,"S")</f>
        <v/>
      </c>
    </row>
    <row r="23">
      <c r="B23" s="8" t="inlineStr">
        <is>
          <t>NFR — Non-functional</t>
        </is>
      </c>
      <c r="C23" s="9">
        <f>COUNTIF(Requirements_RTM!$B$2:$B$142,"NFR")</f>
        <v/>
      </c>
      <c r="D23" s="9">
        <f>COUNTIFS(Requirements_RTM!$B$2:$B$142,"NFR",Requirements_RTM!$E$2:$E$142,"M")</f>
        <v/>
      </c>
      <c r="F23" s="8" t="inlineStr">
        <is>
          <t>C</t>
        </is>
      </c>
      <c r="G23" s="9">
        <f>COUNTIF(Requirements_RTM!$E$2:$E$142,"C")</f>
        <v/>
      </c>
    </row>
    <row r="24">
      <c r="B24" s="8" t="inlineStr">
        <is>
          <t>DC — Design constraint</t>
        </is>
      </c>
      <c r="C24" s="9">
        <f>COUNTIF(Requirements_RTM!$B$2:$B$142,"DC")</f>
        <v/>
      </c>
      <c r="D24" s="9">
        <f>COUNTIFS(Requirements_RTM!$B$2:$B$142,"DC",Requirements_RTM!$E$2:$E$142,"M")</f>
        <v/>
      </c>
      <c r="F24" s="8" t="inlineStr">
        <is>
          <t>W</t>
        </is>
      </c>
      <c r="G24" s="9">
        <f>COUNTIF(Requirements_RTM!$E$2:$E$142,"W")</f>
        <v/>
      </c>
    </row>
    <row r="25">
      <c r="B25" s="8" t="inlineStr">
        <is>
          <t>DR — Delivery / process</t>
        </is>
      </c>
      <c r="C25" s="9">
        <f>COUNTIF(Requirements_RTM!$B$2:$B$142,"DR")</f>
        <v/>
      </c>
      <c r="D25" s="9">
        <f>COUNTIFS(Requirements_RTM!$B$2:$B$142,"DR",Requirements_RTM!$E$2:$E$142,"M")</f>
        <v/>
      </c>
    </row>
    <row r="26">
      <c r="B26" s="10" t="inlineStr">
        <is>
          <t>Total</t>
        </is>
      </c>
      <c r="C26" s="11">
        <f>SUM(C21:C25)</f>
        <v/>
      </c>
      <c r="D26" s="11">
        <f>SUM(D21:D25)</f>
        <v/>
      </c>
    </row>
    <row r="28">
      <c r="B28" s="5" t="inlineStr">
        <is>
          <t>Requirements by status</t>
        </is>
      </c>
      <c r="E28" s="5" t="inlineStr">
        <is>
          <t>Test cases by status</t>
        </is>
      </c>
      <c r="H28" s="5" t="inlineStr">
        <is>
          <t>Tasks by status</t>
        </is>
      </c>
    </row>
    <row r="29">
      <c r="B29" s="7" t="inlineStr">
        <is>
          <t>Status</t>
        </is>
      </c>
      <c r="C29" s="7" t="inlineStr">
        <is>
          <t>Count</t>
        </is>
      </c>
      <c r="E29" s="7" t="inlineStr">
        <is>
          <t>Status</t>
        </is>
      </c>
      <c r="F29" s="7" t="inlineStr">
        <is>
          <t>Count</t>
        </is>
      </c>
      <c r="H29" s="7" t="inlineStr">
        <is>
          <t>Status</t>
        </is>
      </c>
      <c r="I29" s="7" t="inlineStr">
        <is>
          <t>Count</t>
        </is>
      </c>
    </row>
    <row r="30">
      <c r="B30" s="8" t="inlineStr">
        <is>
          <t>Proposed</t>
        </is>
      </c>
      <c r="C30" s="9">
        <f>COUNTIF(Requirements_RTM!$M$2:$M$142,"Proposed")</f>
        <v/>
      </c>
      <c r="E30" s="8" t="inlineStr">
        <is>
          <t>Not Written</t>
        </is>
      </c>
      <c r="F30" s="9">
        <f>COUNTIF(Test_Cases!$I$2:$I$52,"Not Written")</f>
        <v/>
      </c>
      <c r="H30" s="8" t="inlineStr">
        <is>
          <t>Not Started</t>
        </is>
      </c>
      <c r="I30" s="9">
        <f>COUNTIF(Implementation_Tasks!$G$2:$G$28,"Not Started")</f>
        <v/>
      </c>
    </row>
    <row r="31">
      <c r="B31" s="8" t="inlineStr">
        <is>
          <t>Approved</t>
        </is>
      </c>
      <c r="C31" s="9">
        <f>COUNTIF(Requirements_RTM!$M$2:$M$142,"Approved")</f>
        <v/>
      </c>
      <c r="E31" s="8" t="inlineStr">
        <is>
          <t>Written</t>
        </is>
      </c>
      <c r="F31" s="9">
        <f>COUNTIF(Test_Cases!$I$2:$I$52,"Written")</f>
        <v/>
      </c>
      <c r="H31" s="8" t="inlineStr">
        <is>
          <t>In Progress</t>
        </is>
      </c>
      <c r="I31" s="9">
        <f>COUNTIF(Implementation_Tasks!$G$2:$G$28,"In Progress")</f>
        <v/>
      </c>
    </row>
    <row r="32">
      <c r="B32" s="8" t="inlineStr">
        <is>
          <t>In Progress</t>
        </is>
      </c>
      <c r="C32" s="9">
        <f>COUNTIF(Requirements_RTM!$M$2:$M$142,"In Progress")</f>
        <v/>
      </c>
      <c r="E32" s="8" t="inlineStr">
        <is>
          <t>Passing</t>
        </is>
      </c>
      <c r="F32" s="9">
        <f>COUNTIF(Test_Cases!$I$2:$I$52,"Passing")</f>
        <v/>
      </c>
      <c r="H32" s="8" t="inlineStr">
        <is>
          <t>In Review</t>
        </is>
      </c>
      <c r="I32" s="9">
        <f>COUNTIF(Implementation_Tasks!$G$2:$G$28,"In Review")</f>
        <v/>
      </c>
    </row>
    <row r="33">
      <c r="B33" s="8" t="inlineStr">
        <is>
          <t>Implemented</t>
        </is>
      </c>
      <c r="C33" s="9">
        <f>COUNTIF(Requirements_RTM!$M$2:$M$142,"Implemented")</f>
        <v/>
      </c>
      <c r="E33" s="8" t="inlineStr">
        <is>
          <t>Failing</t>
        </is>
      </c>
      <c r="F33" s="9">
        <f>COUNTIF(Test_Cases!$I$2:$I$52,"Failing")</f>
        <v/>
      </c>
      <c r="H33" s="8" t="inlineStr">
        <is>
          <t>Done</t>
        </is>
      </c>
      <c r="I33" s="9">
        <f>COUNTIF(Implementation_Tasks!$G$2:$G$28,"Done")</f>
        <v/>
      </c>
    </row>
    <row r="34">
      <c r="B34" s="8" t="inlineStr">
        <is>
          <t>Verified</t>
        </is>
      </c>
      <c r="C34" s="9">
        <f>COUNTIF(Requirements_RTM!$M$2:$M$142,"Verified")</f>
        <v/>
      </c>
      <c r="E34" s="8" t="inlineStr">
        <is>
          <t>Blocked</t>
        </is>
      </c>
      <c r="F34" s="9">
        <f>COUNTIF(Test_Cases!$I$2:$I$52,"Blocked")</f>
        <v/>
      </c>
      <c r="H34" s="8" t="inlineStr">
        <is>
          <t>Blocked</t>
        </is>
      </c>
      <c r="I34" s="9">
        <f>COUNTIF(Implementation_Tasks!$G$2:$G$28,"Blocked")</f>
        <v/>
      </c>
    </row>
    <row r="35">
      <c r="B35" s="8" t="inlineStr">
        <is>
          <t>Deferred</t>
        </is>
      </c>
      <c r="C35" s="9">
        <f>COUNTIF(Requirements_RTM!$M$2:$M$142,"Deferred")</f>
        <v/>
      </c>
    </row>
    <row r="36">
      <c r="B36" s="8" t="inlineStr">
        <is>
          <t>Withdrawn</t>
        </is>
      </c>
      <c r="C36" s="9">
        <f>COUNTIF(Requirements_RTM!$M$2:$M$142,"Withdrawn")</f>
        <v/>
      </c>
    </row>
    <row r="38">
      <c r="B38" s="5" t="inlineStr">
        <is>
          <t>Traceability health checks (all should be 0)</t>
        </is>
      </c>
    </row>
    <row r="39">
      <c r="B39" s="7" t="inlineStr">
        <is>
          <t>Check</t>
        </is>
      </c>
      <c r="C39" s="7" t="inlineStr">
        <is>
          <t>Value</t>
        </is>
      </c>
      <c r="D39" s="7" t="inlineStr">
        <is>
          <t>Target</t>
        </is>
      </c>
      <c r="E39" s="7" t="inlineStr">
        <is>
          <t>Result</t>
        </is>
      </c>
    </row>
    <row r="40">
      <c r="B40" s="8" t="inlineStr">
        <is>
          <t>Test-verified requirements with no test case</t>
        </is>
      </c>
      <c r="C40" s="9">
        <f>COUNTIFS(Requirements_RTM!$I$2:$I$142,"*T*",Requirements_RTM!$J$2:$J$142,"",Requirements_RTM!$E$2:$E$142,"&lt;&gt;W")</f>
        <v/>
      </c>
      <c r="D40" s="9" t="n">
        <v>0</v>
      </c>
      <c r="E40" s="11">
        <f>IF(C40=D40,"PASS","FIX")</f>
        <v/>
      </c>
    </row>
    <row r="41">
      <c r="B41" s="8" t="inlineStr">
        <is>
          <t>Requirements (not Won't) with no implementation task</t>
        </is>
      </c>
      <c r="C41" s="9">
        <f>COUNTIFS(Requirements_RTM!$K$2:$K$142,"",Requirements_RTM!$E$2:$E$142,"&lt;&gt;W")</f>
        <v/>
      </c>
      <c r="D41" s="9" t="n">
        <v>0</v>
      </c>
      <c r="E41" s="11">
        <f>IF(C41=D41,"PASS","FIX")</f>
        <v/>
      </c>
    </row>
    <row r="42">
      <c r="B42" s="8" t="inlineStr">
        <is>
          <t>Requirements with no acceptance criteria</t>
        </is>
      </c>
      <c r="C42" s="9">
        <f>COUNTIFS(Requirements_RTM!$H$2:$H$142,"")</f>
        <v/>
      </c>
      <c r="D42" s="9" t="n">
        <v>0</v>
      </c>
      <c r="E42" s="11">
        <f>IF(C42=D42,"PASS","FIX")</f>
        <v/>
      </c>
    </row>
    <row r="43">
      <c r="B43" s="8" t="inlineStr">
        <is>
          <t>PRD sections with a coverage GAP</t>
        </is>
      </c>
      <c r="C43" s="9">
        <f>COUNTIF(PRD_Coverage!$E$2:$E$20,"GAP")</f>
        <v/>
      </c>
      <c r="D43" s="9" t="n">
        <v>0</v>
      </c>
      <c r="E43" s="11">
        <f>IF(C43=D43,"PASS","FIX")</f>
        <v/>
      </c>
    </row>
    <row r="44">
      <c r="B44" s="8" t="inlineStr">
        <is>
          <t>Fare calculator mismatches</t>
        </is>
      </c>
      <c r="C44" s="9">
        <f>COUNTIF(Fare_Calculator!$N$12:$N$21,"MISMATCH")</f>
        <v/>
      </c>
      <c r="D44" s="9" t="n">
        <v>0</v>
      </c>
      <c r="E44" s="11">
        <f>IF(C44=D44,"PASS","FIX")</f>
        <v/>
      </c>
    </row>
    <row r="45">
      <c r="B45" s="8" t="inlineStr">
        <is>
          <t>Zone distance asymmetries</t>
        </is>
      </c>
      <c r="C45" s="9">
        <f>Zones_Distances!D27</f>
        <v/>
      </c>
      <c r="D45" s="9" t="n">
        <v>0</v>
      </c>
      <c r="E45" s="11">
        <f>IF(C45=D45,"PASS","FIX")</f>
        <v/>
      </c>
    </row>
  </sheetData>
  <mergeCells count="6">
    <mergeCell ref="C16:H16"/>
    <mergeCell ref="C14:H14"/>
    <mergeCell ref="C13:H13"/>
    <mergeCell ref="C17:H17"/>
    <mergeCell ref="C12:H12"/>
    <mergeCell ref="C15:H15"/>
  </mergeCells>
  <conditionalFormatting sqref="E40:E45">
    <cfRule type="expression" priority="1" dxfId="0">
      <formula>E40="PASS"</formula>
    </cfRule>
    <cfRule type="expression" priority="2" dxfId="1">
      <formula>E40="FIX"</formula>
    </cfRule>
  </conditionalFormatting>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P142"/>
  <sheetViews>
    <sheetView zoomScale="10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7" customWidth="1" min="2" max="2"/>
    <col width="11" customWidth="1" min="3" max="3"/>
    <col width="55" customWidth="1" min="4" max="4"/>
    <col width="10" customWidth="1" min="5" max="5"/>
    <col width="9" customWidth="1" min="6" max="6"/>
    <col width="7" customWidth="1" min="7" max="7"/>
    <col width="55" customWidth="1" min="8" max="8"/>
    <col width="12" customWidth="1" min="9" max="9"/>
    <col width="16" customWidth="1" min="10" max="10"/>
    <col width="11" customWidth="1" min="11" max="11"/>
    <col width="24" customWidth="1" min="12" max="12"/>
    <col width="13" customWidth="1" min="13" max="13"/>
    <col width="26" customWidth="1" min="14" max="14"/>
    <col width="24" customWidth="1" min="15" max="15"/>
    <col hidden="1" width="13" customWidth="1" min="16" max="16"/>
  </cols>
  <sheetData>
    <row r="1" ht="30" customHeight="1">
      <c r="A1" s="7" t="inlineStr">
        <is>
          <t>Req ID</t>
        </is>
      </c>
      <c r="B1" s="7" t="inlineStr">
        <is>
          <t>Type</t>
        </is>
      </c>
      <c r="C1" s="7" t="inlineStr">
        <is>
          <t>Module</t>
        </is>
      </c>
      <c r="D1" s="7" t="inlineStr">
        <is>
          <t>Requirement statement</t>
        </is>
      </c>
      <c r="E1" s="7" t="inlineStr">
        <is>
          <t>Priority (MoSCoW)</t>
        </is>
      </c>
      <c r="F1" s="7" t="inlineStr">
        <is>
          <t>PRD §</t>
        </is>
      </c>
      <c r="G1" s="7" t="inlineStr">
        <is>
          <t>SRS §</t>
        </is>
      </c>
      <c r="H1" s="7" t="inlineStr">
        <is>
          <t>Acceptance criteria</t>
        </is>
      </c>
      <c r="I1" s="7" t="inlineStr">
        <is>
          <t>Verification (T/D/I)</t>
        </is>
      </c>
      <c r="J1" s="7" t="inlineStr">
        <is>
          <t>Test IDs</t>
        </is>
      </c>
      <c r="K1" s="7" t="inlineStr">
        <is>
          <t>Task IDs</t>
        </is>
      </c>
      <c r="L1" s="7" t="inlineStr">
        <is>
          <t>Feature branch(es)</t>
        </is>
      </c>
      <c r="M1" s="7" t="inlineStr">
        <is>
          <t>Status</t>
        </is>
      </c>
      <c r="N1" s="7" t="inlineStr">
        <is>
          <t>Evidence (commit / PR / test run)</t>
        </is>
      </c>
      <c r="O1" s="7" t="inlineStr">
        <is>
          <t>Notes</t>
        </is>
      </c>
      <c r="P1" s="12" t="inlineStr">
        <is>
          <t>PRD key (helper)</t>
        </is>
      </c>
    </row>
    <row r="2" ht="63" customHeight="1">
      <c r="A2" s="13" t="inlineStr">
        <is>
          <t>FR-AUTH-01</t>
        </is>
      </c>
      <c r="B2" s="14" t="inlineStr">
        <is>
          <t>FR</t>
        </is>
      </c>
      <c r="C2" s="14" t="inlineStr">
        <is>
          <t>AUTH</t>
        </is>
      </c>
      <c r="D2" s="13" t="inlineStr">
        <is>
          <t>The system shall let a new passenger sign up with full name, phone number, e-mail, password and an optional self-declared gender (FEMALE, MALE or PREFER_NOT_TO_SAY; default PREFER_NOT_TO_SAY).</t>
        </is>
      </c>
      <c r="E2" s="14" t="inlineStr">
        <is>
          <t>M</t>
        </is>
      </c>
      <c r="F2" s="14" t="inlineStr">
        <is>
          <t>3</t>
        </is>
      </c>
      <c r="G2" s="14" t="inlineStr">
        <is>
          <t>4.1</t>
        </is>
      </c>
      <c r="H2" s="13" t="inlineStr">
        <is>
          <t>Valid input creates a PASSENGER account and a TeslaPay wallet with ৳0 balance. A duplicate e-mail or phone returns 409 and no account is created. A password shorter than 8 characters returns 400.</t>
        </is>
      </c>
      <c r="I2" s="14" t="inlineStr">
        <is>
          <t>T</t>
        </is>
      </c>
      <c r="J2" s="13" t="inlineStr">
        <is>
          <t>TC-31, TC-50</t>
        </is>
      </c>
      <c r="K2" s="13" t="inlineStr">
        <is>
          <t>T-08</t>
        </is>
      </c>
      <c r="L2" s="13" t="inlineStr">
        <is>
          <t>feature/passenger-auth</t>
        </is>
      </c>
      <c r="M2" s="15" t="inlineStr">
        <is>
          <t>Implemented</t>
        </is>
      </c>
      <c r="N2" s="16" t="inlineStr">
        <is>
          <t>POST /api/auth/signup; test/auth/sign-up.test.ts — feature/passenger-auth</t>
        </is>
      </c>
      <c r="O2" s="16" t="inlineStr"/>
      <c r="P2" s="4">
        <f>","&amp;SUBSTITUTE(F2," ","")&amp;","</f>
        <v/>
      </c>
    </row>
    <row r="3" ht="48" customHeight="1">
      <c r="A3" s="17" t="inlineStr">
        <is>
          <t>FR-AUTH-02</t>
        </is>
      </c>
      <c r="B3" s="9" t="inlineStr">
        <is>
          <t>FR</t>
        </is>
      </c>
      <c r="C3" s="9" t="inlineStr">
        <is>
          <t>AUTH</t>
        </is>
      </c>
      <c r="D3" s="17" t="inlineStr">
        <is>
          <t>The system shall let passengers and drivers sign in with e-mail (or phone) and password.</t>
        </is>
      </c>
      <c r="E3" s="9" t="inlineStr">
        <is>
          <t>M</t>
        </is>
      </c>
      <c r="F3" s="9" t="inlineStr">
        <is>
          <t>3</t>
        </is>
      </c>
      <c r="G3" s="9" t="inlineStr">
        <is>
          <t>4.1</t>
        </is>
      </c>
      <c r="H3" s="17" t="inlineStr">
        <is>
          <t>Correct credentials give an authenticated session that identifies the user and role. Wrong credentials return 401 with a generic message that does not reveal whether the account exists.</t>
        </is>
      </c>
      <c r="I3" s="9" t="inlineStr">
        <is>
          <t>T</t>
        </is>
      </c>
      <c r="J3" s="17" t="inlineStr">
        <is>
          <t>TC-32</t>
        </is>
      </c>
      <c r="K3" s="17" t="inlineStr">
        <is>
          <t>T-08</t>
        </is>
      </c>
      <c r="L3" s="17" t="inlineStr">
        <is>
          <t>feature/passenger-auth</t>
        </is>
      </c>
      <c r="M3" s="15" t="inlineStr">
        <is>
          <t>Implemented</t>
        </is>
      </c>
      <c r="N3" s="16" t="inlineStr">
        <is>
          <t>POST /api/auth/login (e-mail or phone); test/auth/sessions.test.ts — feature/passenger-auth</t>
        </is>
      </c>
      <c r="O3" s="16" t="inlineStr"/>
      <c r="P3" s="4">
        <f>","&amp;SUBSTITUTE(F3," ","")&amp;","</f>
        <v/>
      </c>
    </row>
    <row r="4" ht="33" customHeight="1">
      <c r="A4" s="13" t="inlineStr">
        <is>
          <t>FR-AUTH-03</t>
        </is>
      </c>
      <c r="B4" s="14" t="inlineStr">
        <is>
          <t>FR</t>
        </is>
      </c>
      <c r="C4" s="14" t="inlineStr">
        <is>
          <t>AUTH</t>
        </is>
      </c>
      <c r="D4" s="13" t="inlineStr">
        <is>
          <t>The system shall let a signed-in user sign out, which invalidates the client session.</t>
        </is>
      </c>
      <c r="E4" s="14" t="inlineStr">
        <is>
          <t>M</t>
        </is>
      </c>
      <c r="F4" s="14" t="inlineStr">
        <is>
          <t>3</t>
        </is>
      </c>
      <c r="G4" s="14" t="inlineStr">
        <is>
          <t>4.1</t>
        </is>
      </c>
      <c r="H4" s="13" t="inlineStr">
        <is>
          <t>After sign-out, protected endpoints return 401 for that session.</t>
        </is>
      </c>
      <c r="I4" s="14" t="inlineStr">
        <is>
          <t>T</t>
        </is>
      </c>
      <c r="J4" s="13" t="inlineStr">
        <is>
          <t>TC-32</t>
        </is>
      </c>
      <c r="K4" s="13" t="inlineStr">
        <is>
          <t>T-08</t>
        </is>
      </c>
      <c r="L4" s="13" t="inlineStr">
        <is>
          <t>feature/passenger-auth</t>
        </is>
      </c>
      <c r="M4" s="15" t="inlineStr">
        <is>
          <t>Implemented</t>
        </is>
      </c>
      <c r="N4" s="16" t="inlineStr">
        <is>
          <t>POST /api/auth/logout revokes the session — feature/passenger-auth</t>
        </is>
      </c>
      <c r="O4" s="16" t="inlineStr"/>
      <c r="P4" s="4">
        <f>","&amp;SUBSTITUTE(F4," ","")&amp;","</f>
        <v/>
      </c>
    </row>
    <row r="5" ht="33" customHeight="1">
      <c r="A5" s="17" t="inlineStr">
        <is>
          <t>FR-AUTH-04</t>
        </is>
      </c>
      <c r="B5" s="9" t="inlineStr">
        <is>
          <t>FR</t>
        </is>
      </c>
      <c r="C5" s="9" t="inlineStr">
        <is>
          <t>AUTH</t>
        </is>
      </c>
      <c r="D5" s="17" t="inlineStr">
        <is>
          <t>The system shall expose the current user's profile and role to the frontend.</t>
        </is>
      </c>
      <c r="E5" s="9" t="inlineStr">
        <is>
          <t>M</t>
        </is>
      </c>
      <c r="F5" s="9" t="inlineStr">
        <is>
          <t>3</t>
        </is>
      </c>
      <c r="G5" s="9" t="inlineStr">
        <is>
          <t>4.1</t>
        </is>
      </c>
      <c r="H5" s="17" t="inlineStr">
        <is>
          <t>GET /me returns id, name and role (plus the vehicle, for drivers). Without a session it returns 401.</t>
        </is>
      </c>
      <c r="I5" s="9" t="inlineStr">
        <is>
          <t>T</t>
        </is>
      </c>
      <c r="J5" s="17" t="inlineStr">
        <is>
          <t>TC-32</t>
        </is>
      </c>
      <c r="K5" s="17" t="inlineStr">
        <is>
          <t>T-08</t>
        </is>
      </c>
      <c r="L5" s="17" t="inlineStr">
        <is>
          <t>feature/passenger-auth</t>
        </is>
      </c>
      <c r="M5" s="15" t="inlineStr">
        <is>
          <t>Implemented</t>
        </is>
      </c>
      <c r="N5" s="16" t="inlineStr">
        <is>
          <t>GET /api/auth/me (vehicle for drivers) — feature/passenger-auth</t>
        </is>
      </c>
      <c r="O5" s="16" t="inlineStr"/>
      <c r="P5" s="4">
        <f>","&amp;SUBSTITUTE(F5," ","")&amp;","</f>
        <v/>
      </c>
    </row>
    <row r="6" ht="33" customHeight="1">
      <c r="A6" s="13" t="inlineStr">
        <is>
          <t>FR-AUTH-05</t>
        </is>
      </c>
      <c r="B6" s="14" t="inlineStr">
        <is>
          <t>FR</t>
        </is>
      </c>
      <c r="C6" s="14" t="inlineStr">
        <is>
          <t>AUTH</t>
        </is>
      </c>
      <c r="D6" s="13" t="inlineStr">
        <is>
          <t>The frontend shall route users to the dashboard for their role and block access to the other role's pages.</t>
        </is>
      </c>
      <c r="E6" s="14" t="inlineStr">
        <is>
          <t>M</t>
        </is>
      </c>
      <c r="F6" s="14" t="inlineStr">
        <is>
          <t>3</t>
        </is>
      </c>
      <c r="G6" s="14" t="inlineStr">
        <is>
          <t>4.1</t>
        </is>
      </c>
      <c r="H6" s="13" t="inlineStr">
        <is>
          <t>A passenger who opens a driver URL is redirected or sees 403. The API enforces the same rule (NFR-SEC-03).</t>
        </is>
      </c>
      <c r="I6" s="14" t="inlineStr">
        <is>
          <t>T, D</t>
        </is>
      </c>
      <c r="J6" s="13" t="inlineStr">
        <is>
          <t>TC-04</t>
        </is>
      </c>
      <c r="K6" s="13" t="inlineStr">
        <is>
          <t>T-09, T-19</t>
        </is>
      </c>
      <c r="L6" s="13" t="inlineStr">
        <is>
          <t>feature/passenger-auth, feature/passenger-ui</t>
        </is>
      </c>
      <c r="M6" s="15" t="inlineStr">
        <is>
          <t>In Progress</t>
        </is>
      </c>
      <c r="N6" s="16" t="inlineStr">
        <is>
          <t>API role guards done (test/auth/access.test.ts); web routing in feature/passenger-ui — feature/passenger-auth</t>
        </is>
      </c>
      <c r="O6" s="16" t="inlineStr"/>
      <c r="P6" s="4">
        <f>","&amp;SUBSTITUTE(F6," ","")&amp;","</f>
        <v/>
      </c>
    </row>
    <row r="7" ht="33" customHeight="1">
      <c r="A7" s="17" t="inlineStr">
        <is>
          <t>FR-AUTH-06</t>
        </is>
      </c>
      <c r="B7" s="9" t="inlineStr">
        <is>
          <t>FR</t>
        </is>
      </c>
      <c r="C7" s="9" t="inlineStr">
        <is>
          <t>AUTH</t>
        </is>
      </c>
      <c r="D7" s="17" t="inlineStr">
        <is>
          <t>Driver accounts, each linked to exactly one Tesla, shall be provisioned by seed data.</t>
        </is>
      </c>
      <c r="E7" s="9" t="inlineStr">
        <is>
          <t>M</t>
        </is>
      </c>
      <c r="F7" s="9" t="inlineStr">
        <is>
          <t>3, 6</t>
        </is>
      </c>
      <c r="G7" s="9" t="inlineStr">
        <is>
          <t>4.1</t>
        </is>
      </c>
      <c r="H7" s="17" t="inlineStr">
        <is>
          <t>After seeding, Jashim can sign in and sees Bullet (capacity 3).</t>
        </is>
      </c>
      <c r="I7" s="9" t="inlineStr">
        <is>
          <t>T</t>
        </is>
      </c>
      <c r="J7" s="17" t="inlineStr">
        <is>
          <t>TC-37</t>
        </is>
      </c>
      <c r="K7" s="17" t="inlineStr">
        <is>
          <t>T-07</t>
        </is>
      </c>
      <c r="L7" s="17" t="inlineStr">
        <is>
          <t>feature/db-schema</t>
        </is>
      </c>
      <c r="M7" s="15" t="inlineStr">
        <is>
          <t>Implemented</t>
        </is>
      </c>
      <c r="N7" s="16" t="inlineStr">
        <is>
          <t>Jashim/Bullet and Kamal/Toofan seeded — feature/db-schema</t>
        </is>
      </c>
      <c r="O7" s="16" t="inlineStr"/>
      <c r="P7" s="4">
        <f>","&amp;SUBSTITUTE(F7," ","")&amp;","</f>
        <v/>
      </c>
    </row>
    <row r="8" ht="33" customHeight="1">
      <c r="A8" s="13" t="inlineStr">
        <is>
          <t>FR-AUTH-07</t>
        </is>
      </c>
      <c r="B8" s="14" t="inlineStr">
        <is>
          <t>FR</t>
        </is>
      </c>
      <c r="C8" s="14" t="inlineStr">
        <is>
          <t>AUTH</t>
        </is>
      </c>
      <c r="D8" s="13" t="inlineStr">
        <is>
          <t>The system may allow driver self-registration with vehicle details.</t>
        </is>
      </c>
      <c r="E8" s="14" t="inlineStr">
        <is>
          <t>W</t>
        </is>
      </c>
      <c r="F8" s="14" t="inlineStr">
        <is>
          <t>3</t>
        </is>
      </c>
      <c r="G8" s="14" t="inlineStr">
        <is>
          <t>4.1</t>
        </is>
      </c>
      <c r="H8" s="13" t="inlineStr">
        <is>
          <t>Not in MVP (A-05).</t>
        </is>
      </c>
      <c r="I8" s="14" t="inlineStr">
        <is>
          <t>—</t>
        </is>
      </c>
      <c r="J8" s="13" t="inlineStr"/>
      <c r="K8" s="13" t="inlineStr"/>
      <c r="L8" s="13" t="inlineStr"/>
      <c r="M8" s="15" t="inlineStr">
        <is>
          <t>Deferred</t>
        </is>
      </c>
      <c r="N8" s="16" t="inlineStr"/>
      <c r="O8" s="16" t="inlineStr"/>
      <c r="P8" s="4">
        <f>","&amp;SUBSTITUTE(F8," ","")&amp;","</f>
        <v/>
      </c>
    </row>
    <row r="9" ht="33" customHeight="1">
      <c r="A9" s="17" t="inlineStr">
        <is>
          <t>FR-PAX-01</t>
        </is>
      </c>
      <c r="B9" s="9" t="inlineStr">
        <is>
          <t>FR</t>
        </is>
      </c>
      <c r="C9" s="9" t="inlineStr">
        <is>
          <t>PAX</t>
        </is>
      </c>
      <c r="D9" s="17" t="inlineStr">
        <is>
          <t>The system shall provide the list of supported zones for pickup and destination selection.</t>
        </is>
      </c>
      <c r="E9" s="9" t="inlineStr">
        <is>
          <t>M</t>
        </is>
      </c>
      <c r="F9" s="9" t="inlineStr">
        <is>
          <t>4</t>
        </is>
      </c>
      <c r="G9" s="9" t="inlineStr">
        <is>
          <t>4.2</t>
        </is>
      </c>
      <c r="H9" s="17" t="inlineStr">
        <is>
          <t>GET /zones returns every seeded zone with code, name and coordinates. The UI offers only these zones.</t>
        </is>
      </c>
      <c r="I9" s="9" t="inlineStr">
        <is>
          <t>T</t>
        </is>
      </c>
      <c r="J9" s="17" t="inlineStr">
        <is>
          <t>TC-35</t>
        </is>
      </c>
      <c r="K9" s="17" t="inlineStr">
        <is>
          <t>T-11</t>
        </is>
      </c>
      <c r="L9" s="17" t="inlineStr">
        <is>
          <t>feature/zones-fares</t>
        </is>
      </c>
      <c r="M9" s="15" t="inlineStr">
        <is>
          <t>Implemented</t>
        </is>
      </c>
      <c r="N9" s="16" t="inlineStr">
        <is>
          <t>GET /api/zones; test/zones/zones.test.ts — feature/zones-fares</t>
        </is>
      </c>
      <c r="O9" s="16" t="inlineStr"/>
      <c r="P9" s="4">
        <f>","&amp;SUBSTITUTE(F9," ","")&amp;","</f>
        <v/>
      </c>
    </row>
    <row r="10" ht="48" customHeight="1">
      <c r="A10" s="13" t="inlineStr">
        <is>
          <t>FR-PAX-02</t>
        </is>
      </c>
      <c r="B10" s="14" t="inlineStr">
        <is>
          <t>FR</t>
        </is>
      </c>
      <c r="C10" s="14" t="inlineStr">
        <is>
          <t>PAX</t>
        </is>
      </c>
      <c r="D10" s="13" t="inlineStr">
        <is>
          <t>The system shall show a fare estimate for a pickup, destination and seat count before the passenger confirms. The estimate shall show both the solo fare and the "if pooled" fare.</t>
        </is>
      </c>
      <c r="E10" s="14" t="inlineStr">
        <is>
          <t>M</t>
        </is>
      </c>
      <c r="F10" s="14" t="inlineStr">
        <is>
          <t>3, 5</t>
        </is>
      </c>
      <c r="G10" s="14" t="inlineStr">
        <is>
          <t>4.2</t>
        </is>
      </c>
      <c r="H10" s="13" t="inlineStr">
        <is>
          <t>For Nusrat (Banani→Mohakhali, 1 seat), the estimate shows ৳75.00 solo and ৳66.00 if pooled, with the breakdown shown (BR-10).</t>
        </is>
      </c>
      <c r="I10" s="14" t="inlineStr">
        <is>
          <t>T</t>
        </is>
      </c>
      <c r="J10" s="13" t="inlineStr">
        <is>
          <t>TC-35</t>
        </is>
      </c>
      <c r="K10" s="13" t="inlineStr">
        <is>
          <t>T-11, T-20</t>
        </is>
      </c>
      <c r="L10" s="13" t="inlineStr">
        <is>
          <t>feature/zones-fares, feature/passenger-ui</t>
        </is>
      </c>
      <c r="M10" s="15" t="inlineStr">
        <is>
          <t>In Progress</t>
        </is>
      </c>
      <c r="N10" s="16" t="inlineStr">
        <is>
          <t>POST /api/fares/estimate returns solo and pooled (TC-35); form in feature/passenger-ui — feature/zones-fares</t>
        </is>
      </c>
      <c r="O10" s="16" t="inlineStr"/>
      <c r="P10" s="4">
        <f>","&amp;SUBSTITUTE(F10," ","")&amp;","</f>
        <v/>
      </c>
    </row>
    <row r="11" ht="63" customHeight="1">
      <c r="A11" s="17" t="inlineStr">
        <is>
          <t>FR-PAX-03</t>
        </is>
      </c>
      <c r="B11" s="9" t="inlineStr">
        <is>
          <t>FR</t>
        </is>
      </c>
      <c r="C11" s="9" t="inlineStr">
        <is>
          <t>PAX</t>
        </is>
      </c>
      <c r="D11" s="17" t="inlineStr">
        <is>
          <t>A passenger shall be able to create a ride request with pickup zone, destination zone, seats (1 to the maximum vehicle capacity), pool opt-in (default: yes), same-gender co-riders only (default: no) and payment method (CASH or TESLAPAY).</t>
        </is>
      </c>
      <c r="E11" s="9" t="inlineStr">
        <is>
          <t>M</t>
        </is>
      </c>
      <c r="F11" s="9" t="inlineStr">
        <is>
          <t>3</t>
        </is>
      </c>
      <c r="G11" s="9" t="inlineStr">
        <is>
          <t>4.2</t>
        </is>
      </c>
      <c r="H11" s="17" t="inlineStr">
        <is>
          <t>Valid input creates a request in REQUESTED status and records an audit entry. Pickup equal to destination returns 400. Seats outside the valid range return 400. An unknown zone returns 400.</t>
        </is>
      </c>
      <c r="I11" s="9" t="inlineStr">
        <is>
          <t>T</t>
        </is>
      </c>
      <c r="J11" s="17" t="inlineStr">
        <is>
          <t>TC-24, TC-33, TC-50</t>
        </is>
      </c>
      <c r="K11" s="17" t="inlineStr">
        <is>
          <t>T-13</t>
        </is>
      </c>
      <c r="L11" s="17" t="inlineStr">
        <is>
          <t>feature/ride-request</t>
        </is>
      </c>
      <c r="M11" s="15" t="inlineStr">
        <is>
          <t>Implemented</t>
        </is>
      </c>
      <c r="N11" s="16" t="inlineStr">
        <is>
          <t>POST /api/rides; test/rides/request.test.ts (TC-33) — feature/ride-request</t>
        </is>
      </c>
      <c r="O11" s="16" t="inlineStr"/>
      <c r="P11" s="4">
        <f>","&amp;SUBSTITUTE(F11," ","")&amp;","</f>
        <v/>
      </c>
    </row>
    <row r="12" ht="33" customHeight="1">
      <c r="A12" s="13" t="inlineStr">
        <is>
          <t>FR-PAX-04</t>
        </is>
      </c>
      <c r="B12" s="14" t="inlineStr">
        <is>
          <t>FR</t>
        </is>
      </c>
      <c r="C12" s="14" t="inlineStr">
        <is>
          <t>PAX</t>
        </is>
      </c>
      <c r="D12" s="13" t="inlineStr">
        <is>
          <t>The system shall reject a new request while the passenger already has an active request.</t>
        </is>
      </c>
      <c r="E12" s="14" t="inlineStr">
        <is>
          <t>M</t>
        </is>
      </c>
      <c r="F12" s="14" t="inlineStr">
        <is>
          <t>3, 12</t>
        </is>
      </c>
      <c r="G12" s="14" t="inlineStr">
        <is>
          <t>4.2</t>
        </is>
      </c>
      <c r="H12" s="13" t="inlineStr">
        <is>
          <t>A second request returns 409 ACTIVE_REQUEST_EXISTS. This is enforced at database level as well (NFR-CON-04).</t>
        </is>
      </c>
      <c r="I12" s="14" t="inlineStr">
        <is>
          <t>T</t>
        </is>
      </c>
      <c r="J12" s="13" t="inlineStr">
        <is>
          <t>TC-18</t>
        </is>
      </c>
      <c r="K12" s="13" t="inlineStr">
        <is>
          <t>T-13</t>
        </is>
      </c>
      <c r="L12" s="13" t="inlineStr">
        <is>
          <t>feature/ride-request</t>
        </is>
      </c>
      <c r="M12" s="15" t="inlineStr">
        <is>
          <t>Implemented</t>
        </is>
      </c>
      <c r="N12" s="16" t="inlineStr">
        <is>
          <t>409 ACTIVE_REQUEST_EXISTS with the existing ride id; double submit covered (TC-18) — feature/ride-request</t>
        </is>
      </c>
      <c r="O12" s="16" t="inlineStr"/>
      <c r="P12" s="4">
        <f>","&amp;SUBSTITUTE(F12," ","")&amp;","</f>
        <v/>
      </c>
    </row>
    <row r="13" ht="33" customHeight="1">
      <c r="A13" s="17" t="inlineStr">
        <is>
          <t>FR-PAX-05</t>
        </is>
      </c>
      <c r="B13" s="9" t="inlineStr">
        <is>
          <t>FR</t>
        </is>
      </c>
      <c r="C13" s="9" t="inlineStr">
        <is>
          <t>PAX</t>
        </is>
      </c>
      <c r="D13" s="17" t="inlineStr">
        <is>
          <t>When TeslaPay is selected, the system shall reject the request if the wallet balance is lower than the estimated solo fare.</t>
        </is>
      </c>
      <c r="E13" s="9" t="inlineStr">
        <is>
          <t>S</t>
        </is>
      </c>
      <c r="F13" s="9" t="inlineStr">
        <is>
          <t>5</t>
        </is>
      </c>
      <c r="G13" s="9" t="inlineStr">
        <is>
          <t>4.2</t>
        </is>
      </c>
      <c r="H13" s="17" t="inlineStr">
        <is>
          <t>With a balance of ৳50 and a solo fare of ৳75, the request is rejected with 422 INSUFFICIENT_BALANCE.</t>
        </is>
      </c>
      <c r="I13" s="9" t="inlineStr">
        <is>
          <t>T</t>
        </is>
      </c>
      <c r="J13" s="17" t="inlineStr">
        <is>
          <t>TC-28</t>
        </is>
      </c>
      <c r="K13" s="17" t="inlineStr">
        <is>
          <t>T-13</t>
        </is>
      </c>
      <c r="L13" s="17" t="inlineStr">
        <is>
          <t>feature/ride-request</t>
        </is>
      </c>
      <c r="M13" s="15" t="inlineStr">
        <is>
          <t>Implemented</t>
        </is>
      </c>
      <c r="N13" s="16" t="inlineStr">
        <is>
          <t>422 INSUFFICIENT_BALANCE against the solo estimate; Rafiq test — feature/ride-request</t>
        </is>
      </c>
      <c r="O13" s="16" t="inlineStr"/>
      <c r="P13" s="4">
        <f>","&amp;SUBSTITUTE(F13," ","")&amp;","</f>
        <v/>
      </c>
    </row>
    <row r="14" ht="78" customHeight="1">
      <c r="A14" s="13" t="inlineStr">
        <is>
          <t>FR-PAX-06</t>
        </is>
      </c>
      <c r="B14" s="14" t="inlineStr">
        <is>
          <t>FR</t>
        </is>
      </c>
      <c r="C14" s="14" t="inlineStr">
        <is>
          <t>PAX</t>
        </is>
      </c>
      <c r="D14" s="13" t="inlineStr">
        <is>
          <t>The passenger shall be able to view their current ride: status, status timeline, pickup and destination, seats, fare (estimate or locked), payment method, driver name, Tesla name and plate once matched, whether the ride is shared, and the number of co-riders.</t>
        </is>
      </c>
      <c r="E14" s="14" t="inlineStr">
        <is>
          <t>M</t>
        </is>
      </c>
      <c r="F14" s="14" t="inlineStr">
        <is>
          <t>2, 3</t>
        </is>
      </c>
      <c r="G14" s="14" t="inlineStr">
        <is>
          <t>4.2</t>
        </is>
      </c>
      <c r="H14" s="13" t="inlineStr">
        <is>
          <t>Nusrat sees "Shared ride · 1 co-rider" and only her own fare. No other passenger's name, fare or destination appears anywhere in her API responses (A-09).</t>
        </is>
      </c>
      <c r="I14" s="14" t="inlineStr">
        <is>
          <t>T, D</t>
        </is>
      </c>
      <c r="J14" s="13" t="inlineStr">
        <is>
          <t>TC-13</t>
        </is>
      </c>
      <c r="K14" s="13" t="inlineStr">
        <is>
          <t>T-13, T-20</t>
        </is>
      </c>
      <c r="L14" s="13" t="inlineStr">
        <is>
          <t>feature/ride-request, feature/passenger-ui</t>
        </is>
      </c>
      <c r="M14" s="15" t="inlineStr">
        <is>
          <t>In Progress</t>
        </is>
      </c>
      <c r="N14" s="16" t="inlineStr">
        <is>
          <t>GET /api/rides?scope=active and /:id with driver, Tesla, co-rider count, badge — feature/ride-request; screen in feature/passenger-ui</t>
        </is>
      </c>
      <c r="O14" s="16" t="inlineStr"/>
      <c r="P14" s="4">
        <f>","&amp;SUBSTITUTE(F14," ","")&amp;","</f>
        <v/>
      </c>
    </row>
    <row r="15" ht="33" customHeight="1">
      <c r="A15" s="17" t="inlineStr">
        <is>
          <t>FR-PAX-07</t>
        </is>
      </c>
      <c r="B15" s="9" t="inlineStr">
        <is>
          <t>FR</t>
        </is>
      </c>
      <c r="C15" s="9" t="inlineStr">
        <is>
          <t>PAX</t>
        </is>
      </c>
      <c r="D15" s="17" t="inlineStr">
        <is>
          <t>The passenger's ride view shall refresh status automatically without a manual page reload.</t>
        </is>
      </c>
      <c r="E15" s="9" t="inlineStr">
        <is>
          <t>M</t>
        </is>
      </c>
      <c r="F15" s="9" t="inlineStr">
        <is>
          <t>3</t>
        </is>
      </c>
      <c r="G15" s="9" t="inlineStr">
        <is>
          <t>4.2</t>
        </is>
      </c>
      <c r="H15" s="17" t="inlineStr">
        <is>
          <t>A status change made by the driver appears for the passenger within 5 s (polling, A-11).</t>
        </is>
      </c>
      <c r="I15" s="9" t="inlineStr">
        <is>
          <t>D</t>
        </is>
      </c>
      <c r="J15" s="17" t="inlineStr">
        <is>
          <t>TC-41</t>
        </is>
      </c>
      <c r="K15" s="17" t="inlineStr">
        <is>
          <t>T-20</t>
        </is>
      </c>
      <c r="L15" s="17" t="inlineStr">
        <is>
          <t>feature/passenger-ui</t>
        </is>
      </c>
      <c r="M15" s="15" t="inlineStr">
        <is>
          <t>Proposed</t>
        </is>
      </c>
      <c r="N15" s="16" t="inlineStr"/>
      <c r="O15" s="16" t="inlineStr"/>
      <c r="P15" s="4">
        <f>","&amp;SUBSTITUTE(F15," ","")&amp;","</f>
        <v/>
      </c>
    </row>
    <row r="16" ht="63" customHeight="1">
      <c r="A16" s="13" t="inlineStr">
        <is>
          <t>FR-PAX-08</t>
        </is>
      </c>
      <c r="B16" s="14" t="inlineStr">
        <is>
          <t>FR</t>
        </is>
      </c>
      <c r="C16" s="14" t="inlineStr">
        <is>
          <t>PAX</t>
        </is>
      </c>
      <c r="D16" s="13" t="inlineStr">
        <is>
          <t>A passenger shall be able to cancel their own request when the cancellation rules allow it (BR-07). If a fee applies, the fee shall be shown and confirmed before cancelling.</t>
        </is>
      </c>
      <c r="E16" s="14" t="inlineStr">
        <is>
          <t>M</t>
        </is>
      </c>
      <c r="F16" s="14" t="inlineStr">
        <is>
          <t>3, 12</t>
        </is>
      </c>
      <c r="G16" s="14" t="inlineStr">
        <is>
          <t>4.2</t>
        </is>
      </c>
      <c r="H16" s="13" t="inlineStr">
        <is>
          <t>Cancelling in REQUESTED or MATCHED is free. Cancelling in DRIVER_ARRIVED shows "৳20.00 cancellation fee" and requires confirmation. Cancelling in STARTED, COMPLETED, CANCELLED or EXPIRED returns 409 INVALID_STATE_TRANSITION.</t>
        </is>
      </c>
      <c r="I16" s="14" t="inlineStr">
        <is>
          <t>T</t>
        </is>
      </c>
      <c r="J16" s="13" t="inlineStr">
        <is>
          <t>TC-05</t>
        </is>
      </c>
      <c r="K16" s="13" t="inlineStr">
        <is>
          <t>T-13, T-20</t>
        </is>
      </c>
      <c r="L16" s="13" t="inlineStr">
        <is>
          <t>feature/ride-request, feature/passenger-ui</t>
        </is>
      </c>
      <c r="M16" s="15" t="inlineStr">
        <is>
          <t>In Progress</t>
        </is>
      </c>
      <c r="N16" s="16" t="inlineStr">
        <is>
          <t>POST /api/rides/:id/cancel: REQUESTED free, STARTED/terminal 409 — feature/ride-request; MATCHED and DRIVER_ARRIVED (fee) later</t>
        </is>
      </c>
      <c r="O16" s="16" t="inlineStr"/>
      <c r="P16" s="4">
        <f>","&amp;SUBSTITUTE(F16," ","")&amp;","</f>
        <v/>
      </c>
    </row>
    <row r="17" ht="48" customHeight="1">
      <c r="A17" s="17" t="inlineStr">
        <is>
          <t>FR-PAX-09</t>
        </is>
      </c>
      <c r="B17" s="9" t="inlineStr">
        <is>
          <t>FR</t>
        </is>
      </c>
      <c r="C17" s="9" t="inlineStr">
        <is>
          <t>PAX</t>
        </is>
      </c>
      <c r="D17" s="17" t="inlineStr">
        <is>
          <t>The passenger shall be able to view their ride history (newest first, paginated), showing date, route, seats, final status, final fare, payment method and whether the ride was shared.</t>
        </is>
      </c>
      <c r="E17" s="9" t="inlineStr">
        <is>
          <t>M</t>
        </is>
      </c>
      <c r="F17" s="9" t="inlineStr">
        <is>
          <t>3</t>
        </is>
      </c>
      <c r="G17" s="9" t="inlineStr">
        <is>
          <t>4.2</t>
        </is>
      </c>
      <c r="H17" s="17" t="inlineStr">
        <is>
          <t>The history contains only the passenger's own requests. An empty history shows an empty state.</t>
        </is>
      </c>
      <c r="I17" s="9" t="inlineStr">
        <is>
          <t>T, D</t>
        </is>
      </c>
      <c r="J17" s="17" t="inlineStr">
        <is>
          <t>TC-39</t>
        </is>
      </c>
      <c r="K17" s="17" t="inlineStr">
        <is>
          <t>T-13, T-21</t>
        </is>
      </c>
      <c r="L17" s="17" t="inlineStr">
        <is>
          <t>feature/ride-request, feature/passenger-ui</t>
        </is>
      </c>
      <c r="M17" s="15" t="inlineStr">
        <is>
          <t>In Progress</t>
        </is>
      </c>
      <c r="N17" s="16" t="inlineStr">
        <is>
          <t>GET /api/rides?scope=history, newest first, cursor paging (TC-39) — feature/ride-request; screen in feature/passenger-ui</t>
        </is>
      </c>
      <c r="O17" s="16" t="inlineStr"/>
      <c r="P17" s="4">
        <f>","&amp;SUBSTITUTE(F17," ","")&amp;","</f>
        <v/>
      </c>
    </row>
    <row r="18" ht="33" customHeight="1">
      <c r="A18" s="13" t="inlineStr">
        <is>
          <t>FR-PAX-10</t>
        </is>
      </c>
      <c r="B18" s="14" t="inlineStr">
        <is>
          <t>FR</t>
        </is>
      </c>
      <c r="C18" s="14" t="inlineStr">
        <is>
          <t>PAX</t>
        </is>
      </c>
      <c r="D18" s="13" t="inlineStr">
        <is>
          <t>The passenger shall be able to open a past ride and see its full status timeline and fare breakdown.</t>
        </is>
      </c>
      <c r="E18" s="14" t="inlineStr">
        <is>
          <t>S</t>
        </is>
      </c>
      <c r="F18" s="14" t="inlineStr">
        <is>
          <t>2, 3</t>
        </is>
      </c>
      <c r="G18" s="14" t="inlineStr">
        <is>
          <t>4.2</t>
        </is>
      </c>
      <c r="H18" s="13" t="inlineStr">
        <is>
          <t>The timeline lists every transition with its timestamp, taken from the audit trail.</t>
        </is>
      </c>
      <c r="I18" s="14" t="inlineStr">
        <is>
          <t>T, D</t>
        </is>
      </c>
      <c r="J18" s="13" t="inlineStr">
        <is>
          <t>TC-39</t>
        </is>
      </c>
      <c r="K18" s="13" t="inlineStr">
        <is>
          <t>T-13, T-21</t>
        </is>
      </c>
      <c r="L18" s="13" t="inlineStr">
        <is>
          <t>feature/ride-request, feature/passenger-ui</t>
        </is>
      </c>
      <c r="M18" s="15" t="inlineStr">
        <is>
          <t>In Progress</t>
        </is>
      </c>
      <c r="N18" s="16" t="inlineStr">
        <is>
          <t>GET /api/rides/:id timeline from status_history — feature/ride-request; screen in feature/passenger-ui</t>
        </is>
      </c>
      <c r="O18" s="16" t="inlineStr"/>
      <c r="P18" s="4">
        <f>","&amp;SUBSTITUTE(F18," ","")&amp;","</f>
        <v/>
      </c>
    </row>
    <row r="19" ht="78" customHeight="1">
      <c r="A19" s="17" t="inlineStr">
        <is>
          <t>FR-PAX-11</t>
        </is>
      </c>
      <c r="B19" s="9" t="inlineStr">
        <is>
          <t>FR</t>
        </is>
      </c>
      <c r="C19" s="9" t="inlineStr">
        <is>
          <t>PAX</t>
        </is>
      </c>
      <c r="D19" s="17" t="inlineStr">
        <is>
          <t>A passenger whose declared gender is FEMALE or MALE may request a same-gender ride (co-riders of their gender only). The option shall be unavailable to passengers who declared PREFER_NOT_TO_SAY, and it requires pool opt-in. The ride view shall show a "Women-only ride" / "Men-only ride" badge.</t>
        </is>
      </c>
      <c r="E19" s="9" t="inlineStr">
        <is>
          <t>S</t>
        </is>
      </c>
      <c r="F19" s="9" t="inlineStr">
        <is>
          <t>2, 3</t>
        </is>
      </c>
      <c r="G19" s="9" t="inlineStr">
        <is>
          <t>4.2</t>
        </is>
      </c>
      <c r="H19" s="17" t="inlineStr">
        <is>
          <t>Shirin (FEMALE) can set the option. A PREFER_NOT_TO_SAY passenger setting it gets 400 VALIDATION_ERROR, as does setting it with pool opt-in = false. No co-rider gender is ever returned by passenger APIs.</t>
        </is>
      </c>
      <c r="I19" s="9" t="inlineStr">
        <is>
          <t>T</t>
        </is>
      </c>
      <c r="J19" s="17" t="inlineStr">
        <is>
          <t>TC-50</t>
        </is>
      </c>
      <c r="K19" s="17" t="inlineStr">
        <is>
          <t>T-13, T-20</t>
        </is>
      </c>
      <c r="L19" s="17" t="inlineStr">
        <is>
          <t>feature/ride-request, feature/passenger-ui</t>
        </is>
      </c>
      <c r="M19" s="15" t="inlineStr">
        <is>
          <t>In Progress</t>
        </is>
      </c>
      <c r="N19" s="16" t="inlineStr">
        <is>
          <t>Option validation (TC-50 parts 2-3) — feature/ride-request; matching in feature/tesla-pooling, badge in the UI</t>
        </is>
      </c>
      <c r="O19" s="16" t="inlineStr">
        <is>
          <t>Added in SRS v0.3</t>
        </is>
      </c>
      <c r="P19" s="4">
        <f>","&amp;SUBSTITUTE(F19," ","")&amp;","</f>
        <v/>
      </c>
    </row>
    <row r="20" ht="33" customHeight="1">
      <c r="A20" s="13" t="inlineStr">
        <is>
          <t>FR-DRV-01</t>
        </is>
      </c>
      <c r="B20" s="14" t="inlineStr">
        <is>
          <t>FR</t>
        </is>
      </c>
      <c r="C20" s="14" t="inlineStr">
        <is>
          <t>DRV</t>
        </is>
      </c>
      <c r="D20" s="13" t="inlineStr">
        <is>
          <t>A signed-in driver shall see their Tesla's name, plate and seat capacity.</t>
        </is>
      </c>
      <c r="E20" s="14" t="inlineStr">
        <is>
          <t>M</t>
        </is>
      </c>
      <c r="F20" s="14" t="inlineStr">
        <is>
          <t>3</t>
        </is>
      </c>
      <c r="G20" s="14" t="inlineStr">
        <is>
          <t>4.3</t>
        </is>
      </c>
      <c r="H20" s="13" t="inlineStr">
        <is>
          <t>Jashim sees "Bullet · DHAKA-TESLA-11 · 3 seats".</t>
        </is>
      </c>
      <c r="I20" s="14" t="inlineStr">
        <is>
          <t>T, D</t>
        </is>
      </c>
      <c r="J20" s="13" t="inlineStr">
        <is>
          <t>TC-40</t>
        </is>
      </c>
      <c r="K20" s="13" t="inlineStr">
        <is>
          <t>T-14, T-22</t>
        </is>
      </c>
      <c r="L20" s="13" t="inlineStr">
        <is>
          <t>feature/tesla-pooling, feature/driver-ui</t>
        </is>
      </c>
      <c r="M20" s="15" t="inlineStr">
        <is>
          <t>Proposed</t>
        </is>
      </c>
      <c r="N20" s="16" t="inlineStr"/>
      <c r="O20" s="16" t="inlineStr"/>
      <c r="P20" s="4">
        <f>","&amp;SUBSTITUTE(F20," ","")&amp;","</f>
        <v/>
      </c>
    </row>
    <row r="21" ht="33" customHeight="1">
      <c r="A21" s="17" t="inlineStr">
        <is>
          <t>FR-DRV-02</t>
        </is>
      </c>
      <c r="B21" s="9" t="inlineStr">
        <is>
          <t>FR</t>
        </is>
      </c>
      <c r="C21" s="9" t="inlineStr">
        <is>
          <t>DRV</t>
        </is>
      </c>
      <c r="D21" s="17" t="inlineStr">
        <is>
          <t>A driver shall be able to go online, selecting their current zone, and go offline.</t>
        </is>
      </c>
      <c r="E21" s="9" t="inlineStr">
        <is>
          <t>M</t>
        </is>
      </c>
      <c r="F21" s="9" t="inlineStr">
        <is>
          <t>3</t>
        </is>
      </c>
      <c r="G21" s="9" t="inlineStr">
        <is>
          <t>4.3</t>
        </is>
      </c>
      <c r="H21" s="17" t="inlineStr">
        <is>
          <t>Going online sets the driver ONLINE in the chosen zone. Going offline sets OFFLINE. Both are audited.</t>
        </is>
      </c>
      <c r="I21" s="9" t="inlineStr">
        <is>
          <t>T</t>
        </is>
      </c>
      <c r="J21" s="17" t="inlineStr">
        <is>
          <t>TC-22</t>
        </is>
      </c>
      <c r="K21" s="17" t="inlineStr">
        <is>
          <t>T-14, T-22</t>
        </is>
      </c>
      <c r="L21" s="17" t="inlineStr">
        <is>
          <t>feature/tesla-pooling, feature/driver-ui</t>
        </is>
      </c>
      <c r="M21" s="15" t="inlineStr">
        <is>
          <t>Proposed</t>
        </is>
      </c>
      <c r="N21" s="16" t="inlineStr"/>
      <c r="O21" s="16" t="inlineStr"/>
      <c r="P21" s="4">
        <f>","&amp;SUBSTITUTE(F21," ","")&amp;","</f>
        <v/>
      </c>
    </row>
    <row r="22" ht="33" customHeight="1">
      <c r="A22" s="13" t="inlineStr">
        <is>
          <t>FR-DRV-03</t>
        </is>
      </c>
      <c r="B22" s="14" t="inlineStr">
        <is>
          <t>FR</t>
        </is>
      </c>
      <c r="C22" s="14" t="inlineStr">
        <is>
          <t>DRV</t>
        </is>
      </c>
      <c r="D22" s="13" t="inlineStr">
        <is>
          <t>The system shall prevent a driver from going offline while they have an active pool.</t>
        </is>
      </c>
      <c r="E22" s="14" t="inlineStr">
        <is>
          <t>M</t>
        </is>
      </c>
      <c r="F22" s="14" t="inlineStr">
        <is>
          <t>3</t>
        </is>
      </c>
      <c r="G22" s="14" t="inlineStr">
        <is>
          <t>4.3</t>
        </is>
      </c>
      <c r="H22" s="13" t="inlineStr">
        <is>
          <t>Returns 409 ACTIVE_POOL_EXISTS. The UI disables the toggle and explains why.</t>
        </is>
      </c>
      <c r="I22" s="14" t="inlineStr">
        <is>
          <t>T</t>
        </is>
      </c>
      <c r="J22" s="13" t="inlineStr">
        <is>
          <t>TC-22</t>
        </is>
      </c>
      <c r="K22" s="13" t="inlineStr">
        <is>
          <t>T-14</t>
        </is>
      </c>
      <c r="L22" s="13" t="inlineStr">
        <is>
          <t>feature/tesla-pooling</t>
        </is>
      </c>
      <c r="M22" s="15" t="inlineStr">
        <is>
          <t>Proposed</t>
        </is>
      </c>
      <c r="N22" s="16" t="inlineStr"/>
      <c r="O22" s="16" t="inlineStr"/>
      <c r="P22" s="4">
        <f>","&amp;SUBSTITUTE(F22," ","")&amp;","</f>
        <v/>
      </c>
    </row>
    <row r="23" ht="93" customHeight="1">
      <c r="A23" s="17" t="inlineStr">
        <is>
          <t>FR-DRV-04</t>
        </is>
      </c>
      <c r="B23" s="9" t="inlineStr">
        <is>
          <t>FR</t>
        </is>
      </c>
      <c r="C23" s="9" t="inlineStr">
        <is>
          <t>DRV</t>
        </is>
      </c>
      <c r="D23" s="17" t="inlineStr">
        <is>
          <t>An online driver shall see relevant requests. With no active pool, these are REQUESTED, non-expired requests whose pickup zone is the driver's current zone and whose seats are at most the vehicle capacity. With an OPEN pool, these are only requests compatible with that pool (BR-02). Each shows pickup, destination, seats, pool opt-in, estimated fare and age.</t>
        </is>
      </c>
      <c r="E23" s="9" t="inlineStr">
        <is>
          <t>M</t>
        </is>
      </c>
      <c r="F23" s="9" t="inlineStr">
        <is>
          <t>3, 4</t>
        </is>
      </c>
      <c r="G23" s="9" t="inlineStr">
        <is>
          <t>4.3</t>
        </is>
      </c>
      <c r="H23" s="17" t="inlineStr">
        <is>
          <t>With Jashim online in Banani and Nusrat's request pending, the list contains Nusrat. After accepting Nusrat, it contains Rafiq (compatible) and does not contain a Banani→Uttara request. An offline driver gets 409 DRIVER_OFFLINE.</t>
        </is>
      </c>
      <c r="I23" s="9" t="inlineStr">
        <is>
          <t>T</t>
        </is>
      </c>
      <c r="J23" s="17" t="inlineStr">
        <is>
          <t>TC-23</t>
        </is>
      </c>
      <c r="K23" s="17" t="inlineStr">
        <is>
          <t>T-14, T-22</t>
        </is>
      </c>
      <c r="L23" s="17" t="inlineStr">
        <is>
          <t>feature/tesla-pooling, feature/driver-ui</t>
        </is>
      </c>
      <c r="M23" s="15" t="inlineStr">
        <is>
          <t>Proposed</t>
        </is>
      </c>
      <c r="N23" s="16" t="inlineStr"/>
      <c r="O23" s="16" t="inlineStr"/>
      <c r="P23" s="4">
        <f>","&amp;SUBSTITUTE(F23," ","")&amp;","</f>
        <v/>
      </c>
    </row>
    <row r="24" ht="63" customHeight="1">
      <c r="A24" s="13" t="inlineStr">
        <is>
          <t>FR-DRV-05</t>
        </is>
      </c>
      <c r="B24" s="14" t="inlineStr">
        <is>
          <t>FR</t>
        </is>
      </c>
      <c r="C24" s="14" t="inlineStr">
        <is>
          <t>DRV</t>
        </is>
      </c>
      <c r="D24" s="13" t="inlineStr">
        <is>
          <t>A driver shall be able to accept a relevant request. If the driver has no active pool, a new pool is created. If the driver has an OPEN pool, the request is added to it.</t>
        </is>
      </c>
      <c r="E24" s="14" t="inlineStr">
        <is>
          <t>M</t>
        </is>
      </c>
      <c r="F24" s="14" t="inlineStr">
        <is>
          <t>3</t>
        </is>
      </c>
      <c r="G24" s="14" t="inlineStr">
        <is>
          <t>4.3</t>
        </is>
      </c>
      <c r="H24" s="13" t="inlineStr">
        <is>
          <t>The request moves to MATCHED and becomes a pool member, and occupied seats go up by its seat count, all in one transaction. The server re-checks every rule (BR-01…BR-05) at accept time. A rule violation returns 409 or 422 with a specific code.</t>
        </is>
      </c>
      <c r="I24" s="14" t="inlineStr">
        <is>
          <t>T</t>
        </is>
      </c>
      <c r="J24" s="13" t="inlineStr">
        <is>
          <t>TC-25</t>
        </is>
      </c>
      <c r="K24" s="13" t="inlineStr">
        <is>
          <t>T-15</t>
        </is>
      </c>
      <c r="L24" s="13" t="inlineStr">
        <is>
          <t>feature/tesla-pooling</t>
        </is>
      </c>
      <c r="M24" s="15" t="inlineStr">
        <is>
          <t>Proposed</t>
        </is>
      </c>
      <c r="N24" s="16" t="inlineStr"/>
      <c r="O24" s="16" t="inlineStr"/>
      <c r="P24" s="4">
        <f>","&amp;SUBSTITUTE(F24," ","")&amp;","</f>
        <v/>
      </c>
    </row>
    <row r="25" ht="63" customHeight="1">
      <c r="A25" s="17" t="inlineStr">
        <is>
          <t>FR-DRV-06</t>
        </is>
      </c>
      <c r="B25" s="9" t="inlineStr">
        <is>
          <t>FR</t>
        </is>
      </c>
      <c r="C25" s="9" t="inlineStr">
        <is>
          <t>DRV</t>
        </is>
      </c>
      <c r="D25" s="17" t="inlineStr">
        <is>
          <t>The driver shall see the active pool: status, occupied and free seats, and for each member the passenger's name, pickup, destination, seats, status, payment method and fare, plus a badge when the pool is gender-restricted.</t>
        </is>
      </c>
      <c r="E25" s="9" t="inlineStr">
        <is>
          <t>M</t>
        </is>
      </c>
      <c r="F25" s="9" t="inlineStr">
        <is>
          <t>2, 3</t>
        </is>
      </c>
      <c r="G25" s="9" t="inlineStr">
        <is>
          <t>4.3</t>
        </is>
      </c>
      <c r="H25" s="17" t="inlineStr">
        <is>
          <t>With Nusrat and Rafiq matched, Jashim sees "2 / 3 seats occupied" and both members with their fares.</t>
        </is>
      </c>
      <c r="I25" s="9" t="inlineStr">
        <is>
          <t>T, D</t>
        </is>
      </c>
      <c r="J25" s="17" t="inlineStr">
        <is>
          <t>TC-25, TC-47</t>
        </is>
      </c>
      <c r="K25" s="17" t="inlineStr">
        <is>
          <t>T-17, T-22</t>
        </is>
      </c>
      <c r="L25" s="17" t="inlineStr">
        <is>
          <t>feature/driver-flow, feature/driver-ui</t>
        </is>
      </c>
      <c r="M25" s="15" t="inlineStr">
        <is>
          <t>Proposed</t>
        </is>
      </c>
      <c r="N25" s="16" t="inlineStr"/>
      <c r="O25" s="16" t="inlineStr"/>
      <c r="P25" s="4">
        <f>","&amp;SUBSTITUTE(F25," ","")&amp;","</f>
        <v/>
      </c>
    </row>
    <row r="26" ht="33" customHeight="1">
      <c r="A26" s="13" t="inlineStr">
        <is>
          <t>FR-DRV-07</t>
        </is>
      </c>
      <c r="B26" s="14" t="inlineStr">
        <is>
          <t>FR</t>
        </is>
      </c>
      <c r="C26" s="14" t="inlineStr">
        <is>
          <t>DRV</t>
        </is>
      </c>
      <c r="D26" s="13" t="inlineStr">
        <is>
          <t>The driver shall be able to mark the pool as arrived at the pickup zone.</t>
        </is>
      </c>
      <c r="E26" s="14" t="inlineStr">
        <is>
          <t>M</t>
        </is>
      </c>
      <c r="F26" s="14" t="inlineStr">
        <is>
          <t>3</t>
        </is>
      </c>
      <c r="G26" s="14" t="inlineStr">
        <is>
          <t>4.3</t>
        </is>
      </c>
      <c r="H26" s="13" t="inlineStr">
        <is>
          <t>The pool moves OPEN→DRIVER_ARRIVED, and every MATCHED member moves to DRIVER_ARRIVED.</t>
        </is>
      </c>
      <c r="I26" s="14" t="inlineStr">
        <is>
          <t>T</t>
        </is>
      </c>
      <c r="J26" s="13" t="inlineStr">
        <is>
          <t>TC-25</t>
        </is>
      </c>
      <c r="K26" s="13" t="inlineStr">
        <is>
          <t>T-17, T-22</t>
        </is>
      </c>
      <c r="L26" s="13" t="inlineStr">
        <is>
          <t>feature/driver-flow, feature/driver-ui</t>
        </is>
      </c>
      <c r="M26" s="15" t="inlineStr">
        <is>
          <t>Proposed</t>
        </is>
      </c>
      <c r="N26" s="16" t="inlineStr"/>
      <c r="O26" s="16" t="inlineStr"/>
      <c r="P26" s="4">
        <f>","&amp;SUBSTITUTE(F26," ","")&amp;","</f>
        <v/>
      </c>
    </row>
    <row r="27" ht="48" customHeight="1">
      <c r="A27" s="17" t="inlineStr">
        <is>
          <t>FR-DRV-08</t>
        </is>
      </c>
      <c r="B27" s="9" t="inlineStr">
        <is>
          <t>FR</t>
        </is>
      </c>
      <c r="C27" s="9" t="inlineStr">
        <is>
          <t>DRV</t>
        </is>
      </c>
      <c r="D27" s="17" t="inlineStr">
        <is>
          <t>The driver shall be able to start the trip.</t>
        </is>
      </c>
      <c r="E27" s="9" t="inlineStr">
        <is>
          <t>M</t>
        </is>
      </c>
      <c r="F27" s="9" t="inlineStr">
        <is>
          <t>3</t>
        </is>
      </c>
      <c r="G27" s="9" t="inlineStr">
        <is>
          <t>4.3</t>
        </is>
      </c>
      <c r="H27" s="17" t="inlineStr">
        <is>
          <t>The pool moves DRIVER_ARRIVED→STARTED, and every DRIVER_ARRIVED member moves to STARTED. Fares are locked (BR-12). Starting is rejected if the pool has no member in DRIVER_ARRIVED.</t>
        </is>
      </c>
      <c r="I27" s="9" t="inlineStr">
        <is>
          <t>T</t>
        </is>
      </c>
      <c r="J27" s="17" t="inlineStr">
        <is>
          <t>TC-25</t>
        </is>
      </c>
      <c r="K27" s="17" t="inlineStr">
        <is>
          <t>T-17, T-22</t>
        </is>
      </c>
      <c r="L27" s="17" t="inlineStr">
        <is>
          <t>feature/driver-flow, feature/driver-ui</t>
        </is>
      </c>
      <c r="M27" s="15" t="inlineStr">
        <is>
          <t>Proposed</t>
        </is>
      </c>
      <c r="N27" s="16" t="inlineStr"/>
      <c r="O27" s="16" t="inlineStr"/>
      <c r="P27" s="4">
        <f>","&amp;SUBSTITUTE(F27," ","")&amp;","</f>
        <v/>
      </c>
    </row>
    <row r="28" ht="63" customHeight="1">
      <c r="A28" s="13" t="inlineStr">
        <is>
          <t>FR-DRV-09</t>
        </is>
      </c>
      <c r="B28" s="14" t="inlineStr">
        <is>
          <t>FR</t>
        </is>
      </c>
      <c r="C28" s="14" t="inlineStr">
        <is>
          <t>DRV</t>
        </is>
      </c>
      <c r="D28" s="13" t="inlineStr">
        <is>
          <t>The driver shall be able to drop off (complete) each passenger individually, in any order.</t>
        </is>
      </c>
      <c r="E28" s="14" t="inlineStr">
        <is>
          <t>M</t>
        </is>
      </c>
      <c r="F28" s="14" t="inlineStr">
        <is>
          <t>3</t>
        </is>
      </c>
      <c r="G28" s="14" t="inlineStr">
        <is>
          <t>4.3</t>
        </is>
      </c>
      <c r="H28" s="13" t="inlineStr">
        <is>
          <t>The member moves STARTED→COMPLETED and payment is settled (BR-15/BR-16). When the last member is completed, the pool automatically becomes COMPLETED and the driver's current zone is set to the last drop-off zone.</t>
        </is>
      </c>
      <c r="I28" s="14" t="inlineStr">
        <is>
          <t>T</t>
        </is>
      </c>
      <c r="J28" s="13" t="inlineStr">
        <is>
          <t>TC-25</t>
        </is>
      </c>
      <c r="K28" s="13" t="inlineStr">
        <is>
          <t>T-17, T-22</t>
        </is>
      </c>
      <c r="L28" s="13" t="inlineStr">
        <is>
          <t>feature/driver-flow, feature/driver-ui</t>
        </is>
      </c>
      <c r="M28" s="15" t="inlineStr">
        <is>
          <t>Proposed</t>
        </is>
      </c>
      <c r="N28" s="16" t="inlineStr"/>
      <c r="O28" s="16" t="inlineStr"/>
      <c r="P28" s="4">
        <f>","&amp;SUBSTITUTE(F28," ","")&amp;","</f>
        <v/>
      </c>
    </row>
    <row r="29" ht="33" customHeight="1">
      <c r="A29" s="17" t="inlineStr">
        <is>
          <t>FR-DRV-10</t>
        </is>
      </c>
      <c r="B29" s="9" t="inlineStr">
        <is>
          <t>FR</t>
        </is>
      </c>
      <c r="C29" s="9" t="inlineStr">
        <is>
          <t>DRV</t>
        </is>
      </c>
      <c r="D29" s="17" t="inlineStr">
        <is>
          <t>For cash payments, the driver shall be able to mark cash as collected.</t>
        </is>
      </c>
      <c r="E29" s="9" t="inlineStr">
        <is>
          <t>M</t>
        </is>
      </c>
      <c r="F29" s="9" t="inlineStr">
        <is>
          <t>5</t>
        </is>
      </c>
      <c r="G29" s="9" t="inlineStr">
        <is>
          <t>4.3</t>
        </is>
      </c>
      <c r="H29" s="17" t="inlineStr">
        <is>
          <t>The payment status for that member becomes PAID with method CASH. This action is audited.</t>
        </is>
      </c>
      <c r="I29" s="9" t="inlineStr">
        <is>
          <t>T</t>
        </is>
      </c>
      <c r="J29" s="17" t="inlineStr">
        <is>
          <t>TC-27</t>
        </is>
      </c>
      <c r="K29" s="17" t="inlineStr">
        <is>
          <t>T-18, T-22</t>
        </is>
      </c>
      <c r="L29" s="17" t="inlineStr">
        <is>
          <t>feature/teslapay-wallet, feature/driver-ui</t>
        </is>
      </c>
      <c r="M29" s="15" t="inlineStr">
        <is>
          <t>Proposed</t>
        </is>
      </c>
      <c r="N29" s="16" t="inlineStr"/>
      <c r="O29" s="16" t="inlineStr"/>
      <c r="P29" s="4">
        <f>","&amp;SUBSTITUTE(F29," ","")&amp;","</f>
        <v/>
      </c>
    </row>
    <row r="30" ht="48" customHeight="1">
      <c r="A30" s="13" t="inlineStr">
        <is>
          <t>FR-DRV-11</t>
        </is>
      </c>
      <c r="B30" s="14" t="inlineStr">
        <is>
          <t>FR</t>
        </is>
      </c>
      <c r="C30" s="14" t="inlineStr">
        <is>
          <t>DRV</t>
        </is>
      </c>
      <c r="D30" s="13" t="inlineStr">
        <is>
          <t>The driver shall be able to cancel the pool before the trip starts.</t>
        </is>
      </c>
      <c r="E30" s="14" t="inlineStr">
        <is>
          <t>M</t>
        </is>
      </c>
      <c r="F30" s="14" t="inlineStr">
        <is>
          <t>3</t>
        </is>
      </c>
      <c r="G30" s="14" t="inlineStr">
        <is>
          <t>4.3</t>
        </is>
      </c>
      <c r="H30" s="13" t="inlineStr">
        <is>
          <t>The pool moves to CANCELLED. Active members move back to REQUESTED so another driver can pick them up, and passengers are not charged. Cancelling after STARTED returns 409.</t>
        </is>
      </c>
      <c r="I30" s="14" t="inlineStr">
        <is>
          <t>T</t>
        </is>
      </c>
      <c r="J30" s="13" t="inlineStr">
        <is>
          <t>TC-15</t>
        </is>
      </c>
      <c r="K30" s="13" t="inlineStr">
        <is>
          <t>T-17, T-22</t>
        </is>
      </c>
      <c r="L30" s="13" t="inlineStr">
        <is>
          <t>feature/driver-flow, feature/driver-ui</t>
        </is>
      </c>
      <c r="M30" s="15" t="inlineStr">
        <is>
          <t>Proposed</t>
        </is>
      </c>
      <c r="N30" s="16" t="inlineStr"/>
      <c r="O30" s="16" t="inlineStr"/>
      <c r="P30" s="4">
        <f>","&amp;SUBSTITUTE(F30," ","")&amp;","</f>
        <v/>
      </c>
    </row>
    <row r="31" ht="33" customHeight="1">
      <c r="A31" s="17" t="inlineStr">
        <is>
          <t>FR-DRV-12</t>
        </is>
      </c>
      <c r="B31" s="9" t="inlineStr">
        <is>
          <t>FR</t>
        </is>
      </c>
      <c r="C31" s="9" t="inlineStr">
        <is>
          <t>DRV</t>
        </is>
      </c>
      <c r="D31" s="17" t="inlineStr">
        <is>
          <t>The driver shall be able to mark an arrived passenger as a no-show after a 5-minute wait.</t>
        </is>
      </c>
      <c r="E31" s="9" t="inlineStr">
        <is>
          <t>C</t>
        </is>
      </c>
      <c r="F31" s="9" t="inlineStr">
        <is>
          <t>3</t>
        </is>
      </c>
      <c r="G31" s="9" t="inlineStr">
        <is>
          <t>4.3</t>
        </is>
      </c>
      <c r="H31" s="17" t="inlineStr">
        <is>
          <t>The member moves DRIVER_ARRIVED→CANCELLED with reason NO_SHOW, and the ৳20 fee applies (BR-07).</t>
        </is>
      </c>
      <c r="I31" s="9" t="inlineStr">
        <is>
          <t>T</t>
        </is>
      </c>
      <c r="J31" s="17" t="inlineStr">
        <is>
          <t>TC-43</t>
        </is>
      </c>
      <c r="K31" s="17" t="inlineStr">
        <is>
          <t>T-17</t>
        </is>
      </c>
      <c r="L31" s="17" t="inlineStr">
        <is>
          <t>feature/driver-flow</t>
        </is>
      </c>
      <c r="M31" s="15" t="inlineStr">
        <is>
          <t>Proposed</t>
        </is>
      </c>
      <c r="N31" s="16" t="inlineStr"/>
      <c r="O31" s="16" t="inlineStr"/>
      <c r="P31" s="4">
        <f>","&amp;SUBSTITUTE(F31," ","")&amp;","</f>
        <v/>
      </c>
    </row>
    <row r="32" ht="33" customHeight="1">
      <c r="A32" s="13" t="inlineStr">
        <is>
          <t>FR-DRV-13</t>
        </is>
      </c>
      <c r="B32" s="14" t="inlineStr">
        <is>
          <t>FR</t>
        </is>
      </c>
      <c r="C32" s="14" t="inlineStr">
        <is>
          <t>DRV</t>
        </is>
      </c>
      <c r="D32" s="13" t="inlineStr">
        <is>
          <t>The driver shall see their ride history: past pools with date, route(s), members, final status and total fare per pool.</t>
        </is>
      </c>
      <c r="E32" s="14" t="inlineStr">
        <is>
          <t>M</t>
        </is>
      </c>
      <c r="F32" s="14" t="inlineStr">
        <is>
          <t>3</t>
        </is>
      </c>
      <c r="G32" s="14" t="inlineStr">
        <is>
          <t>4.3</t>
        </is>
      </c>
      <c r="H32" s="13" t="inlineStr">
        <is>
          <t>The history contains only the driver's own pools.</t>
        </is>
      </c>
      <c r="I32" s="14" t="inlineStr">
        <is>
          <t>T, D</t>
        </is>
      </c>
      <c r="J32" s="13" t="inlineStr">
        <is>
          <t>TC-40</t>
        </is>
      </c>
      <c r="K32" s="13" t="inlineStr">
        <is>
          <t>T-17, T-22</t>
        </is>
      </c>
      <c r="L32" s="13" t="inlineStr">
        <is>
          <t>feature/driver-flow, feature/driver-ui</t>
        </is>
      </c>
      <c r="M32" s="15" t="inlineStr">
        <is>
          <t>Proposed</t>
        </is>
      </c>
      <c r="N32" s="16" t="inlineStr"/>
      <c r="O32" s="16" t="inlineStr"/>
      <c r="P32" s="4">
        <f>","&amp;SUBSTITUTE(F32," ","")&amp;","</f>
        <v/>
      </c>
    </row>
    <row r="33" ht="33" customHeight="1">
      <c r="A33" s="17" t="inlineStr">
        <is>
          <t>FR-POOL-01</t>
        </is>
      </c>
      <c r="B33" s="9" t="inlineStr">
        <is>
          <t>FR</t>
        </is>
      </c>
      <c r="C33" s="9" t="inlineStr">
        <is>
          <t>POOL</t>
        </is>
      </c>
      <c r="D33" s="17" t="inlineStr">
        <is>
          <t>A pool shall be created on the driver's first acceptance and linked to exactly one driver and one vehicle, with status OPEN.</t>
        </is>
      </c>
      <c r="E33" s="9" t="inlineStr">
        <is>
          <t>M</t>
        </is>
      </c>
      <c r="F33" s="9" t="inlineStr">
        <is>
          <t>3</t>
        </is>
      </c>
      <c r="G33" s="9" t="inlineStr">
        <is>
          <t>4.4</t>
        </is>
      </c>
      <c r="H33" s="17" t="inlineStr">
        <is>
          <t>The pool row references driver and vehicle, and its creation is audited.</t>
        </is>
      </c>
      <c r="I33" s="9" t="inlineStr">
        <is>
          <t>T</t>
        </is>
      </c>
      <c r="J33" s="17" t="inlineStr">
        <is>
          <t>TC-25</t>
        </is>
      </c>
      <c r="K33" s="17" t="inlineStr">
        <is>
          <t>T-15</t>
        </is>
      </c>
      <c r="L33" s="17" t="inlineStr">
        <is>
          <t>feature/tesla-pooling</t>
        </is>
      </c>
      <c r="M33" s="15" t="inlineStr">
        <is>
          <t>Proposed</t>
        </is>
      </c>
      <c r="N33" s="16" t="inlineStr"/>
      <c r="O33" s="16" t="inlineStr"/>
      <c r="P33" s="4">
        <f>","&amp;SUBSTITUTE(F33," ","")&amp;","</f>
        <v/>
      </c>
    </row>
    <row r="34" ht="48" customHeight="1">
      <c r="A34" s="13" t="inlineStr">
        <is>
          <t>FR-POOL-02</t>
        </is>
      </c>
      <c r="B34" s="14" t="inlineStr">
        <is>
          <t>FR</t>
        </is>
      </c>
      <c r="C34" s="14" t="inlineStr">
        <is>
          <t>POOL</t>
        </is>
      </c>
      <c r="D34" s="13" t="inlineStr">
        <is>
          <t>The occupied seats of a pool shall never exceed its vehicle's capacity, under any sequence or concurrency of operations.</t>
        </is>
      </c>
      <c r="E34" s="14" t="inlineStr">
        <is>
          <t>M</t>
        </is>
      </c>
      <c r="F34" s="14" t="inlineStr">
        <is>
          <t>3, 12</t>
        </is>
      </c>
      <c r="G34" s="14" t="inlineStr">
        <is>
          <t>4.4</t>
        </is>
      </c>
      <c r="H34" s="13" t="inlineStr">
        <is>
          <t>Accepting a request that needs more seats than are free returns 409 CAPACITY_EXCEEDED. The concurrency test in NFR-CON-01 passes.</t>
        </is>
      </c>
      <c r="I34" s="14" t="inlineStr">
        <is>
          <t>T</t>
        </is>
      </c>
      <c r="J34" s="13" t="inlineStr">
        <is>
          <t>TC-01, TC-07</t>
        </is>
      </c>
      <c r="K34" s="13" t="inlineStr">
        <is>
          <t>T-15</t>
        </is>
      </c>
      <c r="L34" s="13" t="inlineStr">
        <is>
          <t>feature/tesla-pooling</t>
        </is>
      </c>
      <c r="M34" s="15" t="inlineStr">
        <is>
          <t>Proposed</t>
        </is>
      </c>
      <c r="N34" s="16" t="inlineStr"/>
      <c r="O34" s="16" t="inlineStr"/>
      <c r="P34" s="4">
        <f>","&amp;SUBSTITUTE(F34," ","")&amp;","</f>
        <v/>
      </c>
    </row>
    <row r="35" ht="33" customHeight="1">
      <c r="A35" s="17" t="inlineStr">
        <is>
          <t>FR-POOL-03</t>
        </is>
      </c>
      <c r="B35" s="9" t="inlineStr">
        <is>
          <t>FR</t>
        </is>
      </c>
      <c r="C35" s="9" t="inlineStr">
        <is>
          <t>POOL</t>
        </is>
      </c>
      <c r="D35" s="17" t="inlineStr">
        <is>
          <t>Compatibility (BR-02) shall be enforced on the server at accept time, not only by filtering the request list.</t>
        </is>
      </c>
      <c r="E35" s="9" t="inlineStr">
        <is>
          <t>M</t>
        </is>
      </c>
      <c r="F35" s="9" t="inlineStr">
        <is>
          <t>4</t>
        </is>
      </c>
      <c r="G35" s="9" t="inlineStr">
        <is>
          <t>4.4</t>
        </is>
      </c>
      <c r="H35" s="17" t="inlineStr">
        <is>
          <t>A crafted accept call for an incompatible request returns 422 NOT_COMPATIBLE.</t>
        </is>
      </c>
      <c r="I35" s="9" t="inlineStr">
        <is>
          <t>T</t>
        </is>
      </c>
      <c r="J35" s="17" t="inlineStr">
        <is>
          <t>TC-20</t>
        </is>
      </c>
      <c r="K35" s="17" t="inlineStr">
        <is>
          <t>T-15</t>
        </is>
      </c>
      <c r="L35" s="17" t="inlineStr">
        <is>
          <t>feature/tesla-pooling</t>
        </is>
      </c>
      <c r="M35" s="15" t="inlineStr">
        <is>
          <t>Proposed</t>
        </is>
      </c>
      <c r="N35" s="16" t="inlineStr"/>
      <c r="O35" s="16" t="inlineStr"/>
      <c r="P35" s="4">
        <f>","&amp;SUBSTITUTE(F35," ","")&amp;","</f>
        <v/>
      </c>
    </row>
    <row r="36" ht="48" customHeight="1">
      <c r="A36" s="13" t="inlineStr">
        <is>
          <t>FR-POOL-04</t>
        </is>
      </c>
      <c r="B36" s="14" t="inlineStr">
        <is>
          <t>FR</t>
        </is>
      </c>
      <c r="C36" s="14" t="inlineStr">
        <is>
          <t>POOL</t>
        </is>
      </c>
      <c r="D36" s="13" t="inlineStr">
        <is>
          <t>A request with pool opt-in = false shall form a private pool that no other request can join. A request with opt-in = false cannot join an existing pool.</t>
        </is>
      </c>
      <c r="E36" s="14" t="inlineStr">
        <is>
          <t>M</t>
        </is>
      </c>
      <c r="F36" s="14" t="inlineStr">
        <is>
          <t>2</t>
        </is>
      </c>
      <c r="G36" s="14" t="inlineStr">
        <is>
          <t>4.4</t>
        </is>
      </c>
      <c r="H36" s="13" t="inlineStr">
        <is>
          <t>Accepting a second request into a private pool returns 422 NOT_COMPATIBLE.</t>
        </is>
      </c>
      <c r="I36" s="14" t="inlineStr">
        <is>
          <t>T</t>
        </is>
      </c>
      <c r="J36" s="13" t="inlineStr">
        <is>
          <t>TC-20</t>
        </is>
      </c>
      <c r="K36" s="13" t="inlineStr">
        <is>
          <t>T-15</t>
        </is>
      </c>
      <c r="L36" s="13" t="inlineStr">
        <is>
          <t>feature/tesla-pooling</t>
        </is>
      </c>
      <c r="M36" s="15" t="inlineStr">
        <is>
          <t>Proposed</t>
        </is>
      </c>
      <c r="N36" s="16" t="inlineStr"/>
      <c r="O36" s="16" t="inlineStr"/>
      <c r="P36" s="4">
        <f>","&amp;SUBSTITUTE(F36," ","")&amp;","</f>
        <v/>
      </c>
    </row>
    <row r="37" ht="33" customHeight="1">
      <c r="A37" s="17" t="inlineStr">
        <is>
          <t>FR-POOL-05</t>
        </is>
      </c>
      <c r="B37" s="9" t="inlineStr">
        <is>
          <t>FR</t>
        </is>
      </c>
      <c r="C37" s="9" t="inlineStr">
        <is>
          <t>POOL</t>
        </is>
      </c>
      <c r="D37" s="17" t="inlineStr">
        <is>
          <t>New members may join a pool only while the pool is OPEN.</t>
        </is>
      </c>
      <c r="E37" s="9" t="inlineStr">
        <is>
          <t>M</t>
        </is>
      </c>
      <c r="F37" s="9" t="inlineStr">
        <is>
          <t>3</t>
        </is>
      </c>
      <c r="G37" s="9" t="inlineStr">
        <is>
          <t>4.4</t>
        </is>
      </c>
      <c r="H37" s="17" t="inlineStr">
        <is>
          <t>Accepting into a DRIVER_ARRIVED or STARTED pool returns 409 POOL_NOT_OPEN.</t>
        </is>
      </c>
      <c r="I37" s="9" t="inlineStr">
        <is>
          <t>T</t>
        </is>
      </c>
      <c r="J37" s="17" t="inlineStr">
        <is>
          <t>TC-02, TC-21</t>
        </is>
      </c>
      <c r="K37" s="17" t="inlineStr">
        <is>
          <t>T-15</t>
        </is>
      </c>
      <c r="L37" s="17" t="inlineStr">
        <is>
          <t>feature/tesla-pooling</t>
        </is>
      </c>
      <c r="M37" s="15" t="inlineStr">
        <is>
          <t>Proposed</t>
        </is>
      </c>
      <c r="N37" s="16" t="inlineStr"/>
      <c r="O37" s="16" t="inlineStr"/>
      <c r="P37" s="4">
        <f>","&amp;SUBSTITUTE(F37," ","")&amp;","</f>
        <v/>
      </c>
    </row>
    <row r="38" ht="33" customHeight="1">
      <c r="A38" s="13" t="inlineStr">
        <is>
          <t>FR-POOL-06</t>
        </is>
      </c>
      <c r="B38" s="14" t="inlineStr">
        <is>
          <t>FR</t>
        </is>
      </c>
      <c r="C38" s="14" t="inlineStr">
        <is>
          <t>POOL</t>
        </is>
      </c>
      <c r="D38" s="13" t="inlineStr">
        <is>
          <t>A member's cancellation shall free their seats immediately.</t>
        </is>
      </c>
      <c r="E38" s="14" t="inlineStr">
        <is>
          <t>M</t>
        </is>
      </c>
      <c r="F38" s="14" t="inlineStr">
        <is>
          <t>3</t>
        </is>
      </c>
      <c r="G38" s="14" t="inlineStr">
        <is>
          <t>4.4</t>
        </is>
      </c>
      <c r="H38" s="13" t="inlineStr">
        <is>
          <t>After Rafiq cancels in MATCHED, occupied seats drop from 2 to 1, and Shirin becomes acceptable.</t>
        </is>
      </c>
      <c r="I38" s="14" t="inlineStr">
        <is>
          <t>T</t>
        </is>
      </c>
      <c r="J38" s="13" t="inlineStr">
        <is>
          <t>TC-16</t>
        </is>
      </c>
      <c r="K38" s="13" t="inlineStr">
        <is>
          <t>T-17</t>
        </is>
      </c>
      <c r="L38" s="13" t="inlineStr">
        <is>
          <t>feature/driver-flow</t>
        </is>
      </c>
      <c r="M38" s="15" t="inlineStr">
        <is>
          <t>Proposed</t>
        </is>
      </c>
      <c r="N38" s="16" t="inlineStr"/>
      <c r="O38" s="16" t="inlineStr"/>
      <c r="P38" s="4">
        <f>","&amp;SUBSTITUTE(F38," ","")&amp;","</f>
        <v/>
      </c>
    </row>
    <row r="39" ht="33" customHeight="1">
      <c r="A39" s="17" t="inlineStr">
        <is>
          <t>FR-POOL-07</t>
        </is>
      </c>
      <c r="B39" s="9" t="inlineStr">
        <is>
          <t>FR</t>
        </is>
      </c>
      <c r="C39" s="9" t="inlineStr">
        <is>
          <t>POOL</t>
        </is>
      </c>
      <c r="D39" s="17" t="inlineStr">
        <is>
          <t>If a pool has no active members before it starts, it shall be cancelled automatically, freeing the driver.</t>
        </is>
      </c>
      <c r="E39" s="9" t="inlineStr">
        <is>
          <t>M</t>
        </is>
      </c>
      <c r="F39" s="9" t="inlineStr">
        <is>
          <t>3</t>
        </is>
      </c>
      <c r="G39" s="9" t="inlineStr">
        <is>
          <t>4.4</t>
        </is>
      </c>
      <c r="H39" s="17" t="inlineStr">
        <is>
          <t>When Nusrat, the only member, cancels, the pool becomes CANCELLED with reason ALL_MEMBERS_CANCELLED.</t>
        </is>
      </c>
      <c r="I39" s="9" t="inlineStr">
        <is>
          <t>T</t>
        </is>
      </c>
      <c r="J39" s="17" t="inlineStr">
        <is>
          <t>TC-16</t>
        </is>
      </c>
      <c r="K39" s="17" t="inlineStr">
        <is>
          <t>T-17</t>
        </is>
      </c>
      <c r="L39" s="17" t="inlineStr">
        <is>
          <t>feature/driver-flow</t>
        </is>
      </c>
      <c r="M39" s="15" t="inlineStr">
        <is>
          <t>Proposed</t>
        </is>
      </c>
      <c r="N39" s="16" t="inlineStr"/>
      <c r="O39" s="16" t="inlineStr"/>
      <c r="P39" s="4">
        <f>","&amp;SUBSTITUTE(F39," ","")&amp;","</f>
        <v/>
      </c>
    </row>
    <row r="40" ht="33" customHeight="1">
      <c r="A40" s="13" t="inlineStr">
        <is>
          <t>FR-POOL-08</t>
        </is>
      </c>
      <c r="B40" s="14" t="inlineStr">
        <is>
          <t>FR</t>
        </is>
      </c>
      <c r="C40" s="14" t="inlineStr">
        <is>
          <t>POOL</t>
        </is>
      </c>
      <c r="D40" s="13" t="inlineStr">
        <is>
          <t>A pool shall be completed automatically when its last on-board member is completed.</t>
        </is>
      </c>
      <c r="E40" s="14" t="inlineStr">
        <is>
          <t>M</t>
        </is>
      </c>
      <c r="F40" s="14" t="inlineStr">
        <is>
          <t>3</t>
        </is>
      </c>
      <c r="G40" s="14" t="inlineStr">
        <is>
          <t>4.4</t>
        </is>
      </c>
      <c r="H40" s="13" t="inlineStr">
        <is>
          <t>The pool status is COMPLETED and completed_at is set.</t>
        </is>
      </c>
      <c r="I40" s="14" t="inlineStr">
        <is>
          <t>T</t>
        </is>
      </c>
      <c r="J40" s="13" t="inlineStr">
        <is>
          <t>TC-25</t>
        </is>
      </c>
      <c r="K40" s="13" t="inlineStr">
        <is>
          <t>T-17</t>
        </is>
      </c>
      <c r="L40" s="13" t="inlineStr">
        <is>
          <t>feature/driver-flow</t>
        </is>
      </c>
      <c r="M40" s="15" t="inlineStr">
        <is>
          <t>Proposed</t>
        </is>
      </c>
      <c r="N40" s="16" t="inlineStr"/>
      <c r="O40" s="16" t="inlineStr"/>
      <c r="P40" s="4">
        <f>","&amp;SUBSTITUTE(F40," ","")&amp;","</f>
        <v/>
      </c>
    </row>
    <row r="41" ht="48" customHeight="1">
      <c r="A41" s="17" t="inlineStr">
        <is>
          <t>FR-POOL-09</t>
        </is>
      </c>
      <c r="B41" s="9" t="inlineStr">
        <is>
          <t>FR</t>
        </is>
      </c>
      <c r="C41" s="9" t="inlineStr">
        <is>
          <t>POOL</t>
        </is>
      </c>
      <c r="D41" s="17" t="inlineStr">
        <is>
          <t>A ride request shall belong to at most one active pool at a time.</t>
        </is>
      </c>
      <c r="E41" s="9" t="inlineStr">
        <is>
          <t>M</t>
        </is>
      </c>
      <c r="F41" s="9" t="inlineStr">
        <is>
          <t>3</t>
        </is>
      </c>
      <c r="G41" s="9" t="inlineStr">
        <is>
          <t>4.4</t>
        </is>
      </c>
      <c r="H41" s="17" t="inlineStr">
        <is>
          <t>Enforced by a unique constraint. Two drivers accepting the same request concurrently gives exactly one success; the other gets 409 INVALID_STATE_TRANSITION.</t>
        </is>
      </c>
      <c r="I41" s="9" t="inlineStr">
        <is>
          <t>T</t>
        </is>
      </c>
      <c r="J41" s="17" t="inlineStr">
        <is>
          <t>TC-06</t>
        </is>
      </c>
      <c r="K41" s="17" t="inlineStr">
        <is>
          <t>T-06, T-15</t>
        </is>
      </c>
      <c r="L41" s="17" t="inlineStr">
        <is>
          <t>feature/db-schema, feature/tesla-pooling</t>
        </is>
      </c>
      <c r="M41" s="15" t="inlineStr">
        <is>
          <t>In Progress</t>
        </is>
      </c>
      <c r="N41" s="16" t="inlineStr">
        <is>
          <t>pool_members_one_active_membership index tested; accept flow in feature/tesla-pooling — feature/db-schema</t>
        </is>
      </c>
      <c r="O41" s="16" t="inlineStr"/>
      <c r="P41" s="4">
        <f>","&amp;SUBSTITUTE(F41," ","")&amp;","</f>
        <v/>
      </c>
    </row>
    <row r="42" ht="48" customHeight="1">
      <c r="A42" s="13" t="inlineStr">
        <is>
          <t>FR-POOL-10</t>
        </is>
      </c>
      <c r="B42" s="14" t="inlineStr">
        <is>
          <t>FR</t>
        </is>
      </c>
      <c r="C42" s="14" t="inlineStr">
        <is>
          <t>POOL</t>
        </is>
      </c>
      <c r="D42" s="13" t="inlineStr">
        <is>
          <t>Pool membership shall be explicit and queryable. For any pool it shall be possible to list its members and each member's seats and status.</t>
        </is>
      </c>
      <c r="E42" s="14" t="inlineStr">
        <is>
          <t>M</t>
        </is>
      </c>
      <c r="F42" s="14" t="inlineStr">
        <is>
          <t>3</t>
        </is>
      </c>
      <c r="G42" s="14" t="inlineStr">
        <is>
          <t>4.4</t>
        </is>
      </c>
      <c r="H42" s="13" t="inlineStr">
        <is>
          <t>The driver's pool view and the database both show the membership.</t>
        </is>
      </c>
      <c r="I42" s="14" t="inlineStr">
        <is>
          <t>T</t>
        </is>
      </c>
      <c r="J42" s="13" t="inlineStr">
        <is>
          <t>TC-25</t>
        </is>
      </c>
      <c r="K42" s="13" t="inlineStr">
        <is>
          <t>T-06</t>
        </is>
      </c>
      <c r="L42" s="13" t="inlineStr">
        <is>
          <t>feature/db-schema</t>
        </is>
      </c>
      <c r="M42" s="15" t="inlineStr">
        <is>
          <t>In Progress</t>
        </is>
      </c>
      <c r="N42" s="16" t="inlineStr">
        <is>
          <t>pool_members table; roster endpoint in feature/driver-flow — feature/db-schema</t>
        </is>
      </c>
      <c r="O42" s="16" t="inlineStr"/>
      <c r="P42" s="4">
        <f>","&amp;SUBSTITUTE(F42," ","")&amp;","</f>
        <v/>
      </c>
    </row>
    <row r="43" ht="63" customHeight="1">
      <c r="A43" s="17" t="inlineStr">
        <is>
          <t>FR-POOL-11</t>
        </is>
      </c>
      <c r="B43" s="9" t="inlineStr">
        <is>
          <t>FR</t>
        </is>
      </c>
      <c r="C43" s="9" t="inlineStr">
        <is>
          <t>POOL</t>
        </is>
      </c>
      <c r="D43" s="17" t="inlineStr">
        <is>
          <t>Gender restrictions (BR-18) shall be enforced on the server at accept time, under the same pool lock as capacity.</t>
        </is>
      </c>
      <c r="E43" s="9" t="inlineStr">
        <is>
          <t>S</t>
        </is>
      </c>
      <c r="F43" s="9" t="inlineStr">
        <is>
          <t>2, 4</t>
        </is>
      </c>
      <c r="G43" s="9" t="inlineStr">
        <is>
          <t>4.4</t>
        </is>
      </c>
      <c r="H43" s="17" t="inlineStr">
        <is>
          <t>With Shirin (same-gender option) in Bullet's pool, accepting Rafiq returns 422 NOT_COMPATIBLE with reason GENDER_RESTRICTED, and accepting Nusrat succeeds. Accepting a same-gender request from Shirin into a pool containing Rafiq returns the same 422.</t>
        </is>
      </c>
      <c r="I43" s="9" t="inlineStr">
        <is>
          <t>T</t>
        </is>
      </c>
      <c r="J43" s="17" t="inlineStr">
        <is>
          <t>TC-47, TC-48, TC-51</t>
        </is>
      </c>
      <c r="K43" s="17" t="inlineStr">
        <is>
          <t>T-15</t>
        </is>
      </c>
      <c r="L43" s="17" t="inlineStr">
        <is>
          <t>feature/tesla-pooling</t>
        </is>
      </c>
      <c r="M43" s="15" t="inlineStr">
        <is>
          <t>Proposed</t>
        </is>
      </c>
      <c r="N43" s="16" t="inlineStr"/>
      <c r="O43" s="16" t="inlineStr">
        <is>
          <t>Added in SRS v0.3</t>
        </is>
      </c>
      <c r="P43" s="4">
        <f>","&amp;SUBSTITUTE(F43," ","")&amp;","</f>
        <v/>
      </c>
    </row>
    <row r="44" ht="33" customHeight="1">
      <c r="A44" s="13" t="inlineStr">
        <is>
          <t>FR-POOL-12</t>
        </is>
      </c>
      <c r="B44" s="14" t="inlineStr">
        <is>
          <t>FR</t>
        </is>
      </c>
      <c r="C44" s="14" t="inlineStr">
        <is>
          <t>POOL</t>
        </is>
      </c>
      <c r="D44" s="13" t="inlineStr">
        <is>
          <t>A pool's gender restriction shall be recalculated whenever a member leaves before the trip starts.</t>
        </is>
      </c>
      <c r="E44" s="14" t="inlineStr">
        <is>
          <t>S</t>
        </is>
      </c>
      <c r="F44" s="14" t="inlineStr">
        <is>
          <t>3</t>
        </is>
      </c>
      <c r="G44" s="14" t="inlineStr">
        <is>
          <t>4.4</t>
        </is>
      </c>
      <c r="H44" s="13" t="inlineStr">
        <is>
          <t>If Shirin was the only member requesting it and she cancels, the restriction returns to NONE and Rafiq becomes acceptable.</t>
        </is>
      </c>
      <c r="I44" s="14" t="inlineStr">
        <is>
          <t>T</t>
        </is>
      </c>
      <c r="J44" s="13" t="inlineStr">
        <is>
          <t>TC-49</t>
        </is>
      </c>
      <c r="K44" s="13" t="inlineStr">
        <is>
          <t>T-17</t>
        </is>
      </c>
      <c r="L44" s="13" t="inlineStr">
        <is>
          <t>feature/driver-flow</t>
        </is>
      </c>
      <c r="M44" s="15" t="inlineStr">
        <is>
          <t>Proposed</t>
        </is>
      </c>
      <c r="N44" s="16" t="inlineStr"/>
      <c r="O44" s="16" t="inlineStr">
        <is>
          <t>Added in SRS v0.3</t>
        </is>
      </c>
      <c r="P44" s="4">
        <f>","&amp;SUBSTITUTE(F44," ","")&amp;","</f>
        <v/>
      </c>
    </row>
    <row r="45" ht="33" customHeight="1">
      <c r="A45" s="17" t="inlineStr">
        <is>
          <t>FR-FARE-01</t>
        </is>
      </c>
      <c r="B45" s="9" t="inlineStr">
        <is>
          <t>FR</t>
        </is>
      </c>
      <c r="C45" s="9" t="inlineStr">
        <is>
          <t>FARE</t>
        </is>
      </c>
      <c r="D45" s="17" t="inlineStr">
        <is>
          <t>The system shall calculate each passenger's fare with the formula in BR-10, using the zone distance table (BR-09).</t>
        </is>
      </c>
      <c r="E45" s="9" t="inlineStr">
        <is>
          <t>M</t>
        </is>
      </c>
      <c r="F45" s="9" t="inlineStr">
        <is>
          <t>5</t>
        </is>
      </c>
      <c r="G45" s="9" t="inlineStr">
        <is>
          <t>4.5</t>
        </is>
      </c>
      <c r="H45" s="17" t="inlineStr">
        <is>
          <t>The worked examples in §6.4 are reproduced exactly by unit tests.</t>
        </is>
      </c>
      <c r="I45" s="9" t="inlineStr">
        <is>
          <t>T</t>
        </is>
      </c>
      <c r="J45" s="17" t="inlineStr">
        <is>
          <t>TC-03, TC-12</t>
        </is>
      </c>
      <c r="K45" s="17" t="inlineStr">
        <is>
          <t>T-10</t>
        </is>
      </c>
      <c r="L45" s="17" t="inlineStr">
        <is>
          <t>feature/zones-fares</t>
        </is>
      </c>
      <c r="M45" s="15" t="inlineStr">
        <is>
          <t>Implemented</t>
        </is>
      </c>
      <c r="N45" s="16" t="inlineStr">
        <is>
          <t>domain/fare.ts computeFare; test/domain/fare.test.ts (TC-03, TC-12) — feature/zones-fares</t>
        </is>
      </c>
      <c r="O45" s="16" t="inlineStr"/>
      <c r="P45" s="4">
        <f>","&amp;SUBSTITUTE(F45," ","")&amp;","</f>
        <v/>
      </c>
    </row>
    <row r="46" ht="33" customHeight="1">
      <c r="A46" s="13" t="inlineStr">
        <is>
          <t>FR-FARE-02</t>
        </is>
      </c>
      <c r="B46" s="14" t="inlineStr">
        <is>
          <t>FR</t>
        </is>
      </c>
      <c r="C46" s="14" t="inlineStr">
        <is>
          <t>FARE</t>
        </is>
      </c>
      <c r="D46" s="13" t="inlineStr">
        <is>
          <t>At request time, the system shall store and show an estimate: the solo fare, plus the pooled fare if the passenger opted in.</t>
        </is>
      </c>
      <c r="E46" s="14" t="inlineStr">
        <is>
          <t>M</t>
        </is>
      </c>
      <c r="F46" s="14" t="inlineStr">
        <is>
          <t>5</t>
        </is>
      </c>
      <c r="G46" s="14" t="inlineStr">
        <is>
          <t>4.5</t>
        </is>
      </c>
      <c r="H46" s="13" t="inlineStr">
        <is>
          <t>The request record stores estimated_fare_paisa (solo). The response includes both figures.</t>
        </is>
      </c>
      <c r="I46" s="14" t="inlineStr">
        <is>
          <t>T</t>
        </is>
      </c>
      <c r="J46" s="13" t="inlineStr">
        <is>
          <t>TC-35</t>
        </is>
      </c>
      <c r="K46" s="13" t="inlineStr">
        <is>
          <t>T-11</t>
        </is>
      </c>
      <c r="L46" s="13" t="inlineStr">
        <is>
          <t>feature/zones-fares</t>
        </is>
      </c>
      <c r="M46" s="15" t="inlineStr">
        <is>
          <t>Implemented</t>
        </is>
      </c>
      <c r="N46" s="16" t="inlineStr">
        <is>
          <t>Estimate endpoint (feature/zones-fares); estimated_fare_paisa stored on each request and both figures in the ride view — feature/ride-request</t>
        </is>
      </c>
      <c r="O46" s="16" t="inlineStr"/>
      <c r="P46" s="4">
        <f>","&amp;SUBSTITUTE(F46," ","")&amp;","</f>
        <v/>
      </c>
    </row>
    <row r="47" ht="48" customHeight="1">
      <c r="A47" s="17" t="inlineStr">
        <is>
          <t>FR-FARE-03</t>
        </is>
      </c>
      <c r="B47" s="9" t="inlineStr">
        <is>
          <t>FR</t>
        </is>
      </c>
      <c r="C47" s="9" t="inlineStr">
        <is>
          <t>FARE</t>
        </is>
      </c>
      <c r="D47" s="17" t="inlineStr">
        <is>
          <t>At trip start, the system shall lock each on-board member's final fare and store the rates used (base, per-km, discount rate, distance, seats, pooled flag).</t>
        </is>
      </c>
      <c r="E47" s="9" t="inlineStr">
        <is>
          <t>M</t>
        </is>
      </c>
      <c r="F47" s="9" t="inlineStr">
        <is>
          <t>2, 5</t>
        </is>
      </c>
      <c r="G47" s="9" t="inlineStr">
        <is>
          <t>4.5</t>
        </is>
      </c>
      <c r="H47" s="17" t="inlineStr">
        <is>
          <t>Changing the rate configuration afterwards does not change any locked fare.</t>
        </is>
      </c>
      <c r="I47" s="9" t="inlineStr">
        <is>
          <t>T</t>
        </is>
      </c>
      <c r="J47" s="17" t="inlineStr">
        <is>
          <t>TC-09, TC-11</t>
        </is>
      </c>
      <c r="K47" s="17" t="inlineStr">
        <is>
          <t>T-17</t>
        </is>
      </c>
      <c r="L47" s="17" t="inlineStr">
        <is>
          <t>feature/driver-flow</t>
        </is>
      </c>
      <c r="M47" s="15" t="inlineStr">
        <is>
          <t>Proposed</t>
        </is>
      </c>
      <c r="N47" s="16" t="inlineStr"/>
      <c r="O47" s="16" t="inlineStr"/>
      <c r="P47" s="4">
        <f>","&amp;SUBSTITUTE(F47," ","")&amp;","</f>
        <v/>
      </c>
    </row>
    <row r="48" ht="33" customHeight="1">
      <c r="A48" s="13" t="inlineStr">
        <is>
          <t>FR-FARE-04</t>
        </is>
      </c>
      <c r="B48" s="14" t="inlineStr">
        <is>
          <t>FR</t>
        </is>
      </c>
      <c r="C48" s="14" t="inlineStr">
        <is>
          <t>FARE</t>
        </is>
      </c>
      <c r="D48" s="13" t="inlineStr">
        <is>
          <t>The passenger and driver views shall show a fare breakdown: base, distance charge, pool discount, seats and total.</t>
        </is>
      </c>
      <c r="E48" s="14" t="inlineStr">
        <is>
          <t>M</t>
        </is>
      </c>
      <c r="F48" s="14" t="inlineStr">
        <is>
          <t>5</t>
        </is>
      </c>
      <c r="G48" s="14" t="inlineStr">
        <is>
          <t>4.5</t>
        </is>
      </c>
      <c r="H48" s="13" t="inlineStr">
        <is>
          <t>The numbers in the breakdown add up to the total shown.</t>
        </is>
      </c>
      <c r="I48" s="14" t="inlineStr">
        <is>
          <t>T, D</t>
        </is>
      </c>
      <c r="J48" s="13" t="inlineStr">
        <is>
          <t>TC-35</t>
        </is>
      </c>
      <c r="K48" s="13" t="inlineStr">
        <is>
          <t>T-11</t>
        </is>
      </c>
      <c r="L48" s="13" t="inlineStr">
        <is>
          <t>feature/zones-fares</t>
        </is>
      </c>
      <c r="M48" s="15" t="inlineStr">
        <is>
          <t>In Progress</t>
        </is>
      </c>
      <c r="N48" s="16" t="inlineStr">
        <is>
          <t>API returns base, distance charge, discount, seats, total (TC-35); views in the UI branches — feature/zones-fares</t>
        </is>
      </c>
      <c r="O48" s="16" t="inlineStr"/>
      <c r="P48" s="4">
        <f>","&amp;SUBSTITUTE(F48," ","")&amp;","</f>
        <v/>
      </c>
    </row>
    <row r="49" ht="33" customHeight="1">
      <c r="A49" s="17" t="inlineStr">
        <is>
          <t>FR-FARE-05</t>
        </is>
      </c>
      <c r="B49" s="9" t="inlineStr">
        <is>
          <t>FR</t>
        </is>
      </c>
      <c r="C49" s="9" t="inlineStr">
        <is>
          <t>FARE</t>
        </is>
      </c>
      <c r="D49" s="17" t="inlineStr">
        <is>
          <t>A cancellation fee (BR-07) shall be recorded as its own charge linked to the request.</t>
        </is>
      </c>
      <c r="E49" s="9" t="inlineStr">
        <is>
          <t>M</t>
        </is>
      </c>
      <c r="F49" s="9" t="inlineStr">
        <is>
          <t>5</t>
        </is>
      </c>
      <c r="G49" s="9" t="inlineStr">
        <is>
          <t>4.5</t>
        </is>
      </c>
      <c r="H49" s="17" t="inlineStr">
        <is>
          <t>Rafiq cancelling after arrival creates a 2000-paisa CANCELLATION_FEE charge.</t>
        </is>
      </c>
      <c r="I49" s="9" t="inlineStr">
        <is>
          <t>T</t>
        </is>
      </c>
      <c r="J49" s="17" t="inlineStr">
        <is>
          <t>TC-14</t>
        </is>
      </c>
      <c r="K49" s="17" t="inlineStr">
        <is>
          <t>T-13</t>
        </is>
      </c>
      <c r="L49" s="17" t="inlineStr">
        <is>
          <t>feature/ride-request</t>
        </is>
      </c>
      <c r="M49" s="15" t="inlineStr">
        <is>
          <t>Proposed</t>
        </is>
      </c>
      <c r="N49" s="16" t="inlineStr"/>
      <c r="O49" s="16" t="inlineStr"/>
      <c r="P49" s="4">
        <f>","&amp;SUBSTITUTE(F49," ","")&amp;","</f>
        <v/>
      </c>
    </row>
    <row r="50" ht="48" customHeight="1">
      <c r="A50" s="13" t="inlineStr">
        <is>
          <t>FR-FARE-06</t>
        </is>
      </c>
      <c r="B50" s="14" t="inlineStr">
        <is>
          <t>FR</t>
        </is>
      </c>
      <c r="C50" s="14" t="inlineStr">
        <is>
          <t>FARE</t>
        </is>
      </c>
      <c r="D50" s="13" t="inlineStr">
        <is>
          <t>All monetary values shall be stored and calculated as integer paisa. They are formatted as ৳ with two decimals only for display.</t>
        </is>
      </c>
      <c r="E50" s="14" t="inlineStr">
        <is>
          <t>M</t>
        </is>
      </c>
      <c r="F50" s="14" t="inlineStr">
        <is>
          <t>5</t>
        </is>
      </c>
      <c r="G50" s="14" t="inlineStr">
        <is>
          <t>4.5</t>
        </is>
      </c>
      <c r="H50" s="13" t="inlineStr">
        <is>
          <t>There are no floating-point money columns in the schema. 6600 is displayed as "৳66.00".</t>
        </is>
      </c>
      <c r="I50" s="14" t="inlineStr">
        <is>
          <t>T</t>
        </is>
      </c>
      <c r="J50" s="13" t="inlineStr">
        <is>
          <t>TC-45</t>
        </is>
      </c>
      <c r="K50" s="13" t="inlineStr">
        <is>
          <t>T-06</t>
        </is>
      </c>
      <c r="L50" s="13" t="inlineStr">
        <is>
          <t>feature/db-schema</t>
        </is>
      </c>
      <c r="M50" s="15" t="inlineStr">
        <is>
          <t>In Progress</t>
        </is>
      </c>
      <c r="N50" s="16" t="inlineStr">
        <is>
          <t>BIGINT paisa columns (feature/db-schema); integer-only fare arithmetic in domain/money.ts (feature/zones-fares); display formatting in the UI</t>
        </is>
      </c>
      <c r="O50" s="16" t="inlineStr"/>
      <c r="P50" s="4">
        <f>","&amp;SUBSTITUTE(F50," ","")&amp;","</f>
        <v/>
      </c>
    </row>
    <row r="51" ht="33" customHeight="1">
      <c r="A51" s="17" t="inlineStr">
        <is>
          <t>FR-PAY-01</t>
        </is>
      </c>
      <c r="B51" s="9" t="inlineStr">
        <is>
          <t>FR</t>
        </is>
      </c>
      <c r="C51" s="9" t="inlineStr">
        <is>
          <t>PAY</t>
        </is>
      </c>
      <c r="D51" s="17" t="inlineStr">
        <is>
          <t>Every passenger shall have one TeslaPay wallet. The passenger can see its balance and transaction list.</t>
        </is>
      </c>
      <c r="E51" s="9" t="inlineStr">
        <is>
          <t>M</t>
        </is>
      </c>
      <c r="F51" s="9" t="inlineStr">
        <is>
          <t>5</t>
        </is>
      </c>
      <c r="G51" s="9" t="inlineStr">
        <is>
          <t>4.6</t>
        </is>
      </c>
      <c r="H51" s="17" t="inlineStr">
        <is>
          <t>Nusrat's seeded balance is visible, and her transactions are listed newest first.</t>
        </is>
      </c>
      <c r="I51" s="9" t="inlineStr">
        <is>
          <t>T</t>
        </is>
      </c>
      <c r="J51" s="17" t="inlineStr">
        <is>
          <t>TC-29</t>
        </is>
      </c>
      <c r="K51" s="17" t="inlineStr">
        <is>
          <t>T-18, T-21</t>
        </is>
      </c>
      <c r="L51" s="17" t="inlineStr">
        <is>
          <t>feature/teslapay-wallet, feature/passenger-ui</t>
        </is>
      </c>
      <c r="M51" s="15" t="inlineStr">
        <is>
          <t>Proposed</t>
        </is>
      </c>
      <c r="N51" s="16" t="inlineStr"/>
      <c r="O51" s="16" t="inlineStr"/>
      <c r="P51" s="4">
        <f>","&amp;SUBSTITUTE(F51," ","")&amp;","</f>
        <v/>
      </c>
    </row>
    <row r="52" ht="48" customHeight="1">
      <c r="A52" s="13" t="inlineStr">
        <is>
          <t>FR-PAY-02</t>
        </is>
      </c>
      <c r="B52" s="14" t="inlineStr">
        <is>
          <t>FR</t>
        </is>
      </c>
      <c r="C52" s="14" t="inlineStr">
        <is>
          <t>PAY</t>
        </is>
      </c>
      <c r="D52" s="13" t="inlineStr">
        <is>
          <t>The passenger shall be able to add simulated funds (top-up) of ৳50–৳5,000 per operation.</t>
        </is>
      </c>
      <c r="E52" s="14" t="inlineStr">
        <is>
          <t>S</t>
        </is>
      </c>
      <c r="F52" s="14" t="inlineStr">
        <is>
          <t>5</t>
        </is>
      </c>
      <c r="G52" s="14" t="inlineStr">
        <is>
          <t>4.6</t>
        </is>
      </c>
      <c r="H52" s="13" t="inlineStr">
        <is>
          <t>A top-up of ৳500 increases the balance by 50000 paisa and creates a TOPUP ledger entry. Out-of-range amounts return 400. The UI labels this clearly as simulated money.</t>
        </is>
      </c>
      <c r="I52" s="14" t="inlineStr">
        <is>
          <t>T</t>
        </is>
      </c>
      <c r="J52" s="13" t="inlineStr">
        <is>
          <t>TC-29</t>
        </is>
      </c>
      <c r="K52" s="13" t="inlineStr">
        <is>
          <t>T-18, T-21</t>
        </is>
      </c>
      <c r="L52" s="13" t="inlineStr">
        <is>
          <t>feature/teslapay-wallet, feature/passenger-ui</t>
        </is>
      </c>
      <c r="M52" s="15" t="inlineStr">
        <is>
          <t>Proposed</t>
        </is>
      </c>
      <c r="N52" s="16" t="inlineStr"/>
      <c r="O52" s="16" t="inlineStr"/>
      <c r="P52" s="4">
        <f>","&amp;SUBSTITUTE(F52," ","")&amp;","</f>
        <v/>
      </c>
    </row>
    <row r="53" ht="48" customHeight="1">
      <c r="A53" s="17" t="inlineStr">
        <is>
          <t>FR-PAY-03</t>
        </is>
      </c>
      <c r="B53" s="9" t="inlineStr">
        <is>
          <t>FR</t>
        </is>
      </c>
      <c r="C53" s="9" t="inlineStr">
        <is>
          <t>PAY</t>
        </is>
      </c>
      <c r="D53" s="17" t="inlineStr">
        <is>
          <t>For TESLAPAY rides, completing the member shall debit the locked fare from the wallet atomically and create a RIDE_PAYMENT ledger entry.</t>
        </is>
      </c>
      <c r="E53" s="9" t="inlineStr">
        <is>
          <t>M</t>
        </is>
      </c>
      <c r="F53" s="9" t="inlineStr">
        <is>
          <t>5</t>
        </is>
      </c>
      <c r="G53" s="9" t="inlineStr">
        <is>
          <t>4.6</t>
        </is>
      </c>
      <c r="H53" s="17" t="inlineStr">
        <is>
          <t>The balance goes down by exactly the locked fare. Payment status becomes PAID.</t>
        </is>
      </c>
      <c r="I53" s="9" t="inlineStr">
        <is>
          <t>T</t>
        </is>
      </c>
      <c r="J53" s="17" t="inlineStr">
        <is>
          <t>TC-26</t>
        </is>
      </c>
      <c r="K53" s="17" t="inlineStr">
        <is>
          <t>T-18</t>
        </is>
      </c>
      <c r="L53" s="17" t="inlineStr">
        <is>
          <t>feature/teslapay-wallet</t>
        </is>
      </c>
      <c r="M53" s="15" t="inlineStr">
        <is>
          <t>Proposed</t>
        </is>
      </c>
      <c r="N53" s="16" t="inlineStr"/>
      <c r="O53" s="16" t="inlineStr"/>
      <c r="P53" s="4">
        <f>","&amp;SUBSTITUTE(F53," ","")&amp;","</f>
        <v/>
      </c>
    </row>
    <row r="54" ht="48" customHeight="1">
      <c r="A54" s="13" t="inlineStr">
        <is>
          <t>FR-PAY-04</t>
        </is>
      </c>
      <c r="B54" s="14" t="inlineStr">
        <is>
          <t>FR</t>
        </is>
      </c>
      <c r="C54" s="14" t="inlineStr">
        <is>
          <t>PAY</t>
        </is>
      </c>
      <c r="D54" s="13" t="inlineStr">
        <is>
          <t>For CASH rides, completing the member shall set payment status to PENDING_CASH until the driver marks it collected (FR-DRV-10).</t>
        </is>
      </c>
      <c r="E54" s="14" t="inlineStr">
        <is>
          <t>M</t>
        </is>
      </c>
      <c r="F54" s="14" t="inlineStr">
        <is>
          <t>5</t>
        </is>
      </c>
      <c r="G54" s="14" t="inlineStr">
        <is>
          <t>4.6</t>
        </is>
      </c>
      <c r="H54" s="13" t="inlineStr">
        <is>
          <t>Rafiq's payment status shows "Cash due ৳60.00" and then "Paid (cash)".</t>
        </is>
      </c>
      <c r="I54" s="14" t="inlineStr">
        <is>
          <t>T</t>
        </is>
      </c>
      <c r="J54" s="13" t="inlineStr">
        <is>
          <t>TC-27</t>
        </is>
      </c>
      <c r="K54" s="13" t="inlineStr">
        <is>
          <t>T-18</t>
        </is>
      </c>
      <c r="L54" s="13" t="inlineStr">
        <is>
          <t>feature/teslapay-wallet</t>
        </is>
      </c>
      <c r="M54" s="15" t="inlineStr">
        <is>
          <t>Proposed</t>
        </is>
      </c>
      <c r="N54" s="16" t="inlineStr"/>
      <c r="O54" s="16" t="inlineStr"/>
      <c r="P54" s="4">
        <f>","&amp;SUBSTITUTE(F54," ","")&amp;","</f>
        <v/>
      </c>
    </row>
    <row r="55" ht="33" customHeight="1">
      <c r="A55" s="17" t="inlineStr">
        <is>
          <t>FR-PAY-05</t>
        </is>
      </c>
      <c r="B55" s="9" t="inlineStr">
        <is>
          <t>FR</t>
        </is>
      </c>
      <c r="C55" s="9" t="inlineStr">
        <is>
          <t>PAY</t>
        </is>
      </c>
      <c r="D55" s="17" t="inlineStr">
        <is>
          <t>A cancellation fee shall be debited from the wallet for TESLAPAY requests. For CASH requests it shall be recorded as UNPAID.</t>
        </is>
      </c>
      <c r="E55" s="9" t="inlineStr">
        <is>
          <t>S</t>
        </is>
      </c>
      <c r="F55" s="9" t="inlineStr">
        <is>
          <t>5</t>
        </is>
      </c>
      <c r="G55" s="9" t="inlineStr">
        <is>
          <t>4.6</t>
        </is>
      </c>
      <c r="H55" s="17" t="inlineStr">
        <is>
          <t>The wallet ledger or charge record reflects the fee. Collecting unpaid cash fees is out of scope (§13.4).</t>
        </is>
      </c>
      <c r="I55" s="9" t="inlineStr">
        <is>
          <t>T</t>
        </is>
      </c>
      <c r="J55" s="17" t="inlineStr">
        <is>
          <t>TC-14</t>
        </is>
      </c>
      <c r="K55" s="17" t="inlineStr">
        <is>
          <t>T-18</t>
        </is>
      </c>
      <c r="L55" s="17" t="inlineStr">
        <is>
          <t>feature/teslapay-wallet</t>
        </is>
      </c>
      <c r="M55" s="15" t="inlineStr">
        <is>
          <t>Proposed</t>
        </is>
      </c>
      <c r="N55" s="16" t="inlineStr"/>
      <c r="O55" s="16" t="inlineStr"/>
      <c r="P55" s="4">
        <f>","&amp;SUBSTITUTE(F55," ","")&amp;","</f>
        <v/>
      </c>
    </row>
    <row r="56" ht="33" customHeight="1">
      <c r="A56" s="13" t="inlineStr">
        <is>
          <t>FR-PAY-06</t>
        </is>
      </c>
      <c r="B56" s="14" t="inlineStr">
        <is>
          <t>FR</t>
        </is>
      </c>
      <c r="C56" s="14" t="inlineStr">
        <is>
          <t>PAY</t>
        </is>
      </c>
      <c r="D56" s="13" t="inlineStr">
        <is>
          <t>A wallet balance shall never go negative. Every balance change shall have exactly one ledger entry.</t>
        </is>
      </c>
      <c r="E56" s="14" t="inlineStr">
        <is>
          <t>M</t>
        </is>
      </c>
      <c r="F56" s="14" t="inlineStr">
        <is>
          <t>5, 6</t>
        </is>
      </c>
      <c r="G56" s="14" t="inlineStr">
        <is>
          <t>4.6</t>
        </is>
      </c>
      <c r="H56" s="13" t="inlineStr">
        <is>
          <t>A DB CHECK (balance ≥ 0) exists. The sum of ledger entries equals the balance for every seeded and test wallet.</t>
        </is>
      </c>
      <c r="I56" s="14" t="inlineStr">
        <is>
          <t>T</t>
        </is>
      </c>
      <c r="J56" s="13" t="inlineStr">
        <is>
          <t>TC-26</t>
        </is>
      </c>
      <c r="K56" s="13" t="inlineStr">
        <is>
          <t>T-06, T-18</t>
        </is>
      </c>
      <c r="L56" s="13" t="inlineStr">
        <is>
          <t>feature/db-schema, feature/teslapay-wallet</t>
        </is>
      </c>
      <c r="M56" s="15" t="inlineStr">
        <is>
          <t>In Progress</t>
        </is>
      </c>
      <c r="N56" s="16" t="inlineStr">
        <is>
          <t>wallets_balance_check + append-only ledger tested; settlement in feature/teslapay-wallet — feature/db-schema</t>
        </is>
      </c>
      <c r="O56" s="16" t="inlineStr"/>
      <c r="P56" s="4">
        <f>","&amp;SUBSTITUTE(F56," ","")&amp;","</f>
        <v/>
      </c>
    </row>
    <row r="57" ht="48" customHeight="1">
      <c r="A57" s="17" t="inlineStr">
        <is>
          <t>FR-HIST-01</t>
        </is>
      </c>
      <c r="B57" s="9" t="inlineStr">
        <is>
          <t>FR</t>
        </is>
      </c>
      <c r="C57" s="9" t="inlineStr">
        <is>
          <t>HIST</t>
        </is>
      </c>
      <c r="D57" s="17" t="inlineStr">
        <is>
          <t>Every status change of a ride request, pool or driver availability shall be recorded with entity, from-status, to-status, actor (user id and role, or SYSTEM), reason and timestamp.</t>
        </is>
      </c>
      <c r="E57" s="9" t="inlineStr">
        <is>
          <t>M</t>
        </is>
      </c>
      <c r="F57" s="9" t="inlineStr">
        <is>
          <t>2, 6</t>
        </is>
      </c>
      <c r="G57" s="9" t="inlineStr">
        <is>
          <t>4.7</t>
        </is>
      </c>
      <c r="H57" s="17" t="inlineStr">
        <is>
          <t>Each transition in §5 creates exactly one audit row, in the same transaction as the change.</t>
        </is>
      </c>
      <c r="I57" s="9" t="inlineStr">
        <is>
          <t>T</t>
        </is>
      </c>
      <c r="J57" s="17" t="inlineStr">
        <is>
          <t>TC-30</t>
        </is>
      </c>
      <c r="K57" s="17" t="inlineStr">
        <is>
          <t>T-12</t>
        </is>
      </c>
      <c r="L57" s="17" t="inlineStr">
        <is>
          <t>feature/ride-request</t>
        </is>
      </c>
      <c r="M57" s="15" t="inlineStr">
        <is>
          <t>In Progress</t>
        </is>
      </c>
      <c r="N57" s="16" t="inlineStr">
        <is>
          <t>recordTransition in the same transaction: ride create, cancel, expiry — feature/ride-request; pool and driver transitions follow</t>
        </is>
      </c>
      <c r="O57" s="16" t="inlineStr"/>
      <c r="P57" s="4">
        <f>","&amp;SUBSTITUTE(F57," ","")&amp;","</f>
        <v/>
      </c>
    </row>
    <row r="58" ht="33" customHeight="1">
      <c r="A58" s="13" t="inlineStr">
        <is>
          <t>FR-HIST-02</t>
        </is>
      </c>
      <c r="B58" s="14" t="inlineStr">
        <is>
          <t>FR</t>
        </is>
      </c>
      <c r="C58" s="14" t="inlineStr">
        <is>
          <t>HIST</t>
        </is>
      </c>
      <c r="D58" s="13" t="inlineStr">
        <is>
          <t>Audit records shall be append-only. The application shall provide no update or delete path for them.</t>
        </is>
      </c>
      <c r="E58" s="14" t="inlineStr">
        <is>
          <t>M</t>
        </is>
      </c>
      <c r="F58" s="14" t="inlineStr">
        <is>
          <t>2</t>
        </is>
      </c>
      <c r="G58" s="14" t="inlineStr">
        <is>
          <t>4.7</t>
        </is>
      </c>
      <c r="H58" s="13" t="inlineStr">
        <is>
          <t>There is no endpoint or service method that modifies audit rows.</t>
        </is>
      </c>
      <c r="I58" s="14" t="inlineStr">
        <is>
          <t>I, T</t>
        </is>
      </c>
      <c r="J58" s="13" t="inlineStr">
        <is>
          <t>TC-30</t>
        </is>
      </c>
      <c r="K58" s="13" t="inlineStr">
        <is>
          <t>T-06, T-12</t>
        </is>
      </c>
      <c r="L58" s="13" t="inlineStr">
        <is>
          <t>feature/db-schema, feature/ride-request</t>
        </is>
      </c>
      <c r="M58" s="15" t="inlineStr">
        <is>
          <t>Implemented</t>
        </is>
      </c>
      <c r="N58" s="16" t="inlineStr">
        <is>
          <t>Append-only trigger (feature/db-schema); audit module has no update/delete path — feature/ride-request</t>
        </is>
      </c>
      <c r="O58" s="16" t="inlineStr"/>
      <c r="P58" s="4">
        <f>","&amp;SUBSTITUTE(F58," ","")&amp;","</f>
        <v/>
      </c>
    </row>
    <row r="59" ht="33" customHeight="1">
      <c r="A59" s="17" t="inlineStr">
        <is>
          <t>FR-HIST-03</t>
        </is>
      </c>
      <c r="B59" s="9" t="inlineStr">
        <is>
          <t>FR</t>
        </is>
      </c>
      <c r="C59" s="9" t="inlineStr">
        <is>
          <t>HIST</t>
        </is>
      </c>
      <c r="D59" s="17" t="inlineStr">
        <is>
          <t>Rejected transition attempts shall be logged (in application logs, not the audit table) with the actor and the reason.</t>
        </is>
      </c>
      <c r="E59" s="9" t="inlineStr">
        <is>
          <t>S</t>
        </is>
      </c>
      <c r="F59" s="9" t="inlineStr">
        <is>
          <t>6</t>
        </is>
      </c>
      <c r="G59" s="9" t="inlineStr">
        <is>
          <t>4.7</t>
        </is>
      </c>
      <c r="H59" s="17" t="inlineStr">
        <is>
          <t>An invalid "start" call produces a WARN log entry with the request id.</t>
        </is>
      </c>
      <c r="I59" s="9" t="inlineStr">
        <is>
          <t>T</t>
        </is>
      </c>
      <c r="J59" s="17" t="inlineStr">
        <is>
          <t>TC-39</t>
        </is>
      </c>
      <c r="K59" s="17" t="inlineStr">
        <is>
          <t>T-12</t>
        </is>
      </c>
      <c r="L59" s="17" t="inlineStr">
        <is>
          <t>feature/ride-request</t>
        </is>
      </c>
      <c r="M59" s="15" t="inlineStr">
        <is>
          <t>Implemented</t>
        </is>
      </c>
      <c r="N59" s="16" t="inlineStr">
        <is>
          <t>error-handler logs 409/422 at WARN as command.rejected with code and request id — feature/ride-request</t>
        </is>
      </c>
      <c r="O59" s="16" t="inlineStr"/>
      <c r="P59" s="4">
        <f>","&amp;SUBSTITUTE(F59," ","")&amp;","</f>
        <v/>
      </c>
    </row>
    <row r="60" ht="48" customHeight="1">
      <c r="A60" s="13" t="inlineStr">
        <is>
          <t>FR-HIST-04</t>
        </is>
      </c>
      <c r="B60" s="14" t="inlineStr">
        <is>
          <t>FR</t>
        </is>
      </c>
      <c r="C60" s="14" t="inlineStr">
        <is>
          <t>HIST</t>
        </is>
      </c>
      <c r="D60" s="13" t="inlineStr">
        <is>
          <t>A completed or cancelled ride shall keep enough data to explain later who rode, in which Tesla, with how many seats, when each status changed, what was charged and why, and how it was paid.</t>
        </is>
      </c>
      <c r="E60" s="14" t="inlineStr">
        <is>
          <t>M</t>
        </is>
      </c>
      <c r="F60" s="14" t="inlineStr">
        <is>
          <t>2</t>
        </is>
      </c>
      <c r="G60" s="14" t="inlineStr">
        <is>
          <t>4.7</t>
        </is>
      </c>
      <c r="H60" s="13" t="inlineStr">
        <is>
          <t>An operator can reconstruct the complete Nusrat and Rafiq ride (scenario E1) from database records alone.</t>
        </is>
      </c>
      <c r="I60" s="14" t="inlineStr">
        <is>
          <t>T</t>
        </is>
      </c>
      <c r="J60" s="13" t="inlineStr">
        <is>
          <t>TC-30</t>
        </is>
      </c>
      <c r="K60" s="13" t="inlineStr">
        <is>
          <t>T-13</t>
        </is>
      </c>
      <c r="L60" s="13" t="inlineStr">
        <is>
          <t>feature/ride-request</t>
        </is>
      </c>
      <c r="M60" s="15" t="inlineStr">
        <is>
          <t>In Progress</t>
        </is>
      </c>
      <c r="N60" s="16" t="inlineStr">
        <is>
          <t>Ride, timeline and fare rows readable per ride — feature/ride-request; full E1 reconstruction after feature/teslapay-wallet</t>
        </is>
      </c>
      <c r="O60" s="16" t="inlineStr"/>
      <c r="P60" s="4">
        <f>","&amp;SUBSTITUTE(F60," ","")&amp;","</f>
        <v/>
      </c>
    </row>
    <row r="61" ht="48" customHeight="1">
      <c r="A61" s="17" t="inlineStr">
        <is>
          <t>BR-01</t>
        </is>
      </c>
      <c r="B61" s="9" t="inlineStr">
        <is>
          <t>BR</t>
        </is>
      </c>
      <c r="C61" s="9" t="inlineStr">
        <is>
          <t>RULES</t>
        </is>
      </c>
      <c r="D61" s="17" t="inlineStr">
        <is>
          <t>Capacity. A request may be accepted into a pool only if occupied_seats + request.seats ≤ vehicle.capacity. The database enforces this as well (NFR-CON-01).</t>
        </is>
      </c>
      <c r="E61" s="9" t="inlineStr">
        <is>
          <t>M</t>
        </is>
      </c>
      <c r="F61" s="9" t="inlineStr">
        <is>
          <t>3, 12</t>
        </is>
      </c>
      <c r="G61" s="9" t="inlineStr">
        <is>
          <t>6.1</t>
        </is>
      </c>
      <c r="H61" s="17" t="inlineStr">
        <is>
          <t>Verified by the linked test cases (see SRS §6).</t>
        </is>
      </c>
      <c r="I61" s="9" t="inlineStr">
        <is>
          <t>T</t>
        </is>
      </c>
      <c r="J61" s="17" t="inlineStr">
        <is>
          <t>TC-01</t>
        </is>
      </c>
      <c r="K61" s="17" t="inlineStr">
        <is>
          <t>T-15</t>
        </is>
      </c>
      <c r="L61" s="17" t="inlineStr">
        <is>
          <t>feature/tesla-pooling</t>
        </is>
      </c>
      <c r="M61" s="15" t="inlineStr">
        <is>
          <t>Proposed</t>
        </is>
      </c>
      <c r="N61" s="16" t="inlineStr"/>
      <c r="O61" s="16" t="inlineStr"/>
      <c r="P61" s="4">
        <f>","&amp;SUBSTITUTE(F61," ","")&amp;","</f>
        <v/>
      </c>
    </row>
    <row r="62" ht="108" customHeight="1">
      <c r="A62" s="13" t="inlineStr">
        <is>
          <t>BR-02</t>
        </is>
      </c>
      <c r="B62" s="14" t="inlineStr">
        <is>
          <t>BR</t>
        </is>
      </c>
      <c r="C62" s="14" t="inlineStr">
        <is>
          <t>RULES</t>
        </is>
      </c>
      <c r="D62" s="13" t="inlineStr">
        <is>
          <t>Compatibility (matching rule). A REQUESTED request R may join an OPEN pool P only if all of the following hold: (a) R.pickup_zone = P.pickup_zone; (b) R and every active member of P opted in to pooling; (c) for every active member M of P, R.destination = M.destination or the two destinations are adjacent zones (BR-08); (d) R was created no more than 10 minutes after P was created; (e) BR-01 holds; (f) the gender rule BR-18 holds.</t>
        </is>
      </c>
      <c r="E62" s="14" t="inlineStr">
        <is>
          <t>M</t>
        </is>
      </c>
      <c r="F62" s="14" t="inlineStr">
        <is>
          <t>4</t>
        </is>
      </c>
      <c r="G62" s="14" t="inlineStr">
        <is>
          <t>6.1</t>
        </is>
      </c>
      <c r="H62" s="13" t="inlineStr">
        <is>
          <t>Verified by the linked test cases (see SRS §6).</t>
        </is>
      </c>
      <c r="I62" s="14" t="inlineStr">
        <is>
          <t>T</t>
        </is>
      </c>
      <c r="J62" s="13" t="inlineStr">
        <is>
          <t>TC-20, TC-47</t>
        </is>
      </c>
      <c r="K62" s="13" t="inlineStr">
        <is>
          <t>T-15</t>
        </is>
      </c>
      <c r="L62" s="13" t="inlineStr">
        <is>
          <t>feature/tesla-pooling</t>
        </is>
      </c>
      <c r="M62" s="15" t="inlineStr">
        <is>
          <t>Proposed</t>
        </is>
      </c>
      <c r="N62" s="16" t="inlineStr"/>
      <c r="O62" s="16" t="inlineStr"/>
      <c r="P62" s="4">
        <f>","&amp;SUBSTITUTE(F62," ","")&amp;","</f>
        <v/>
      </c>
    </row>
    <row r="63" ht="48" customHeight="1">
      <c r="A63" s="17" t="inlineStr">
        <is>
          <t>BR-03</t>
        </is>
      </c>
      <c r="B63" s="9" t="inlineStr">
        <is>
          <t>BR</t>
        </is>
      </c>
      <c r="C63" s="9" t="inlineStr">
        <is>
          <t>RULES</t>
        </is>
      </c>
      <c r="D63" s="17" t="inlineStr">
        <is>
          <t>Solo pools. The first request accepted by a driver always creates a new pool, provided its seats ≤ capacity. If that request did not opt in to pooling, the pool is private (FR-POOL-04).</t>
        </is>
      </c>
      <c r="E63" s="9" t="inlineStr">
        <is>
          <t>M</t>
        </is>
      </c>
      <c r="F63" s="9" t="inlineStr">
        <is>
          <t>3</t>
        </is>
      </c>
      <c r="G63" s="9" t="inlineStr">
        <is>
          <t>6.1</t>
        </is>
      </c>
      <c r="H63" s="17" t="inlineStr">
        <is>
          <t>Verified by the linked test cases (see SRS §6).</t>
        </is>
      </c>
      <c r="I63" s="9" t="inlineStr">
        <is>
          <t>T</t>
        </is>
      </c>
      <c r="J63" s="17" t="inlineStr">
        <is>
          <t>TC-20</t>
        </is>
      </c>
      <c r="K63" s="17" t="inlineStr">
        <is>
          <t>T-15</t>
        </is>
      </c>
      <c r="L63" s="17" t="inlineStr">
        <is>
          <t>feature/tesla-pooling</t>
        </is>
      </c>
      <c r="M63" s="15" t="inlineStr">
        <is>
          <t>Proposed</t>
        </is>
      </c>
      <c r="N63" s="16" t="inlineStr"/>
      <c r="O63" s="16" t="inlineStr"/>
      <c r="P63" s="4">
        <f>","&amp;SUBSTITUTE(F63," ","")&amp;","</f>
        <v/>
      </c>
    </row>
    <row r="64" ht="33" customHeight="1">
      <c r="A64" s="13" t="inlineStr">
        <is>
          <t>BR-04</t>
        </is>
      </c>
      <c r="B64" s="14" t="inlineStr">
        <is>
          <t>BR</t>
        </is>
      </c>
      <c r="C64" s="14" t="inlineStr">
        <is>
          <t>RULES</t>
        </is>
      </c>
      <c r="D64" s="13" t="inlineStr">
        <is>
          <t>One active pool per driver. A driver may have at most one active pool.</t>
        </is>
      </c>
      <c r="E64" s="14" t="inlineStr">
        <is>
          <t>M</t>
        </is>
      </c>
      <c r="F64" s="14" t="inlineStr">
        <is>
          <t>3</t>
        </is>
      </c>
      <c r="G64" s="14" t="inlineStr">
        <is>
          <t>6.1</t>
        </is>
      </c>
      <c r="H64" s="13" t="inlineStr">
        <is>
          <t>Verified by the linked test cases (see SRS §6).</t>
        </is>
      </c>
      <c r="I64" s="14" t="inlineStr">
        <is>
          <t>T</t>
        </is>
      </c>
      <c r="J64" s="13" t="inlineStr">
        <is>
          <t>TC-19</t>
        </is>
      </c>
      <c r="K64" s="13" t="inlineStr">
        <is>
          <t>T-15</t>
        </is>
      </c>
      <c r="L64" s="13" t="inlineStr">
        <is>
          <t>feature/tesla-pooling</t>
        </is>
      </c>
      <c r="M64" s="15" t="inlineStr">
        <is>
          <t>Proposed</t>
        </is>
      </c>
      <c r="N64" s="16" t="inlineStr"/>
      <c r="O64" s="16" t="inlineStr"/>
      <c r="P64" s="4">
        <f>","&amp;SUBSTITUTE(F64," ","")&amp;","</f>
        <v/>
      </c>
    </row>
    <row r="65" ht="33" customHeight="1">
      <c r="A65" s="17" t="inlineStr">
        <is>
          <t>BR-05</t>
        </is>
      </c>
      <c r="B65" s="9" t="inlineStr">
        <is>
          <t>BR</t>
        </is>
      </c>
      <c r="C65" s="9" t="inlineStr">
        <is>
          <t>RULES</t>
        </is>
      </c>
      <c r="D65" s="17" t="inlineStr">
        <is>
          <t>One active request per passenger. A passenger may have at most one active request.</t>
        </is>
      </c>
      <c r="E65" s="9" t="inlineStr">
        <is>
          <t>M</t>
        </is>
      </c>
      <c r="F65" s="9" t="inlineStr">
        <is>
          <t>3</t>
        </is>
      </c>
      <c r="G65" s="9" t="inlineStr">
        <is>
          <t>6.1</t>
        </is>
      </c>
      <c r="H65" s="17" t="inlineStr">
        <is>
          <t>Verified by the linked test cases (see SRS §6).</t>
        </is>
      </c>
      <c r="I65" s="9" t="inlineStr">
        <is>
          <t>T</t>
        </is>
      </c>
      <c r="J65" s="17" t="inlineStr">
        <is>
          <t>TC-18</t>
        </is>
      </c>
      <c r="K65" s="17" t="inlineStr">
        <is>
          <t>T-13</t>
        </is>
      </c>
      <c r="L65" s="17" t="inlineStr">
        <is>
          <t>feature/ride-request</t>
        </is>
      </c>
      <c r="M65" s="15" t="inlineStr">
        <is>
          <t>Implemented</t>
        </is>
      </c>
      <c r="N65" s="16" t="inlineStr">
        <is>
          <t>Service check plus partial unique index; TC-18 — feature/ride-request</t>
        </is>
      </c>
      <c r="O65" s="16" t="inlineStr"/>
      <c r="P65" s="4">
        <f>","&amp;SUBSTITUTE(F65," ","")&amp;","</f>
        <v/>
      </c>
    </row>
    <row r="66" ht="48" customHeight="1">
      <c r="A66" s="13" t="inlineStr">
        <is>
          <t>BR-06</t>
        </is>
      </c>
      <c r="B66" s="14" t="inlineStr">
        <is>
          <t>BR</t>
        </is>
      </c>
      <c r="C66" s="14" t="inlineStr">
        <is>
          <t>RULES</t>
        </is>
      </c>
      <c r="D66" s="13" t="inlineStr">
        <is>
          <t>Closed state machines. Only the transitions in §5 are allowed, and only by the listed actor. All others are rejected without side effects.</t>
        </is>
      </c>
      <c r="E66" s="14" t="inlineStr">
        <is>
          <t>M</t>
        </is>
      </c>
      <c r="F66" s="14" t="inlineStr">
        <is>
          <t>3, 12</t>
        </is>
      </c>
      <c r="G66" s="14" t="inlineStr">
        <is>
          <t>6.1</t>
        </is>
      </c>
      <c r="H66" s="13" t="inlineStr">
        <is>
          <t>Verified by the linked test cases (see SRS §6).</t>
        </is>
      </c>
      <c r="I66" s="14" t="inlineStr">
        <is>
          <t>T</t>
        </is>
      </c>
      <c r="J66" s="13" t="inlineStr">
        <is>
          <t>TC-02, TC-08</t>
        </is>
      </c>
      <c r="K66" s="13" t="inlineStr">
        <is>
          <t>T-12</t>
        </is>
      </c>
      <c r="L66" s="13" t="inlineStr">
        <is>
          <t>feature/ride-request</t>
        </is>
      </c>
      <c r="M66" s="15" t="inlineStr">
        <is>
          <t>Implemented</t>
        </is>
      </c>
      <c r="N66" s="16" t="inlineStr">
        <is>
          <t>domain/state-machine.ts over shared transition tables; TC-08 exhaustive — feature/ride-request</t>
        </is>
      </c>
      <c r="O66" s="16" t="inlineStr"/>
      <c r="P66" s="4">
        <f>","&amp;SUBSTITUTE(F66," ","")&amp;","</f>
        <v/>
      </c>
    </row>
    <row r="67" ht="78" customHeight="1">
      <c r="A67" s="17" t="inlineStr">
        <is>
          <t>BR-08</t>
        </is>
      </c>
      <c r="B67" s="9" t="inlineStr">
        <is>
          <t>BR</t>
        </is>
      </c>
      <c r="C67" s="9" t="inlineStr">
        <is>
          <t>RULES</t>
        </is>
      </c>
      <c r="D67" s="17" t="inlineStr">
        <is>
          <t>Zones. The zone list, the distance table and the adjacency list are fixed reference data (seeded, §13.3). Distances are symmetric road-approximation values in kilometres, stored as integer metres. Adjacency is symmetric and declared explicitly; it is not derived from distance.</t>
        </is>
      </c>
      <c r="E67" s="9" t="inlineStr">
        <is>
          <t>M</t>
        </is>
      </c>
      <c r="F67" s="9" t="inlineStr">
        <is>
          <t>4</t>
        </is>
      </c>
      <c r="G67" s="9" t="inlineStr">
        <is>
          <t>6.1</t>
        </is>
      </c>
      <c r="H67" s="17" t="inlineStr">
        <is>
          <t>Verified by the linked test cases (see SRS §6).</t>
        </is>
      </c>
      <c r="I67" s="9" t="inlineStr">
        <is>
          <t>I, T</t>
        </is>
      </c>
      <c r="J67" s="17" t="inlineStr">
        <is>
          <t>TC-20, TC-37</t>
        </is>
      </c>
      <c r="K67" s="17" t="inlineStr">
        <is>
          <t>T-07</t>
        </is>
      </c>
      <c r="L67" s="17" t="inlineStr">
        <is>
          <t>feature/db-schema</t>
        </is>
      </c>
      <c r="M67" s="15" t="inlineStr">
        <is>
          <t>Implemented</t>
        </is>
      </c>
      <c r="N67" s="16" t="inlineStr">
        <is>
          <t>prisma/seed-data/zones.ts; symmetry test — feature/db-schema</t>
        </is>
      </c>
      <c r="O67" s="16" t="inlineStr"/>
      <c r="P67" s="4">
        <f>","&amp;SUBSTITUTE(F67," ","")&amp;","</f>
        <v/>
      </c>
    </row>
    <row r="68" ht="108" customHeight="1">
      <c r="A68" s="13" t="inlineStr">
        <is>
          <t>BR-07</t>
        </is>
      </c>
      <c r="B68" s="14" t="inlineStr">
        <is>
          <t>BR</t>
        </is>
      </c>
      <c r="C68" s="14" t="inlineStr">
        <is>
          <t>RULES</t>
        </is>
      </c>
      <c r="D68" s="13" t="inlineStr">
        <is>
          <t>Passenger cancellation. In REQUESTED or MATCHED it is free. In DRIVER_ARRIVED it is allowed with a ৳20 (2000 paisa) fee. In STARTED it is not allowed; the passenger is dropped off instead. After a terminal state it is not allowed. Driver no-show cancellation (C) is allowed ≥ 5 min after arrival and has the same fee. Driver pool cancellation is allowed only before STARTED, costs passengers nothing, and returns them to REQUESTED.</t>
        </is>
      </c>
      <c r="E68" s="14" t="inlineStr">
        <is>
          <t>M</t>
        </is>
      </c>
      <c r="F68" s="14" t="inlineStr">
        <is>
          <t>3, 12</t>
        </is>
      </c>
      <c r="G68" s="14" t="inlineStr">
        <is>
          <t>6.2</t>
        </is>
      </c>
      <c r="H68" s="13" t="inlineStr">
        <is>
          <t>Verified by the linked test cases (see SRS §6).</t>
        </is>
      </c>
      <c r="I68" s="14" t="inlineStr">
        <is>
          <t>T</t>
        </is>
      </c>
      <c r="J68" s="13" t="inlineStr">
        <is>
          <t>TC-05, TC-15</t>
        </is>
      </c>
      <c r="K68" s="13" t="inlineStr">
        <is>
          <t>T-13</t>
        </is>
      </c>
      <c r="L68" s="13" t="inlineStr">
        <is>
          <t>feature/ride-request</t>
        </is>
      </c>
      <c r="M68" s="15" t="inlineStr">
        <is>
          <t>In Progress</t>
        </is>
      </c>
      <c r="N68" s="16" t="inlineStr">
        <is>
          <t>domain/cancellation.ts policy (FREE/FEE/FORBIDDEN); fee charging in feature/driver-flow — feature/ride-request</t>
        </is>
      </c>
      <c r="O68" s="16" t="inlineStr"/>
      <c r="P68" s="4">
        <f>","&amp;SUBSTITUTE(F68," ","")&amp;","</f>
        <v/>
      </c>
    </row>
    <row r="69" ht="63" customHeight="1">
      <c r="A69" s="17" t="inlineStr">
        <is>
          <t>BR-09</t>
        </is>
      </c>
      <c r="B69" s="9" t="inlineStr">
        <is>
          <t>BR</t>
        </is>
      </c>
      <c r="C69" s="9" t="inlineStr">
        <is>
          <t>RULES</t>
        </is>
      </c>
      <c r="D69" s="17" t="inlineStr">
        <is>
          <t>Distance. distance_m is the zone-to-zone table value for the request's pickup and destination (e.g. Banani→Mohakhali = 3000 m). Each passenger is charged for their own pickup→destination distance, not for any detour.</t>
        </is>
      </c>
      <c r="E69" s="9" t="inlineStr">
        <is>
          <t>M</t>
        </is>
      </c>
      <c r="F69" s="9" t="inlineStr">
        <is>
          <t>4, 5</t>
        </is>
      </c>
      <c r="G69" s="9" t="inlineStr">
        <is>
          <t>6.3</t>
        </is>
      </c>
      <c r="H69" s="17" t="inlineStr">
        <is>
          <t>Verified by the linked test cases (see SRS §6).</t>
        </is>
      </c>
      <c r="I69" s="9" t="inlineStr">
        <is>
          <t>T</t>
        </is>
      </c>
      <c r="J69" s="17" t="inlineStr">
        <is>
          <t>TC-03, TC-12</t>
        </is>
      </c>
      <c r="K69" s="17" t="inlineStr">
        <is>
          <t>T-10</t>
        </is>
      </c>
      <c r="L69" s="17" t="inlineStr">
        <is>
          <t>feature/zones-fares</t>
        </is>
      </c>
      <c r="M69" s="15" t="inlineStr">
        <is>
          <t>Implemented</t>
        </is>
      </c>
      <c r="N69" s="16" t="inlineStr">
        <is>
          <t>zones.service distanceBetween from the seeded table (TC-12) — feature/zones-fares</t>
        </is>
      </c>
      <c r="O69" s="16" t="inlineStr"/>
      <c r="P69" s="4">
        <f>","&amp;SUBSTITUTE(F69," ","")&amp;","</f>
        <v/>
      </c>
    </row>
    <row r="70" ht="78" customHeight="1">
      <c r="A70" s="13" t="inlineStr">
        <is>
          <t>BR-10</t>
        </is>
      </c>
      <c r="B70" s="14" t="inlineStr">
        <is>
          <t>BR</t>
        </is>
      </c>
      <c r="C70" s="14" t="inlineStr">
        <is>
          <t>RULES</t>
        </is>
      </c>
      <c r="D70" s="13" t="inlineStr">
        <is>
          <t>Formula (per seat). distanceCharge = roundHalfUp(distance_m × PER_KM_PAISA / 1000); poolDiscount = pooled ? roundHalfUp(distanceCharge × POOL_DISCOUNT_BPS / 10000) : 0; farePerSeat = BASE_FARE_PAISA + distanceCharge − poolDiscount; passengerFare = farePerSeat × seats.</t>
        </is>
      </c>
      <c r="E70" s="14" t="inlineStr">
        <is>
          <t>M</t>
        </is>
      </c>
      <c r="F70" s="14" t="inlineStr">
        <is>
          <t>5</t>
        </is>
      </c>
      <c r="G70" s="14" t="inlineStr">
        <is>
          <t>6.3</t>
        </is>
      </c>
      <c r="H70" s="13" t="inlineStr">
        <is>
          <t>Verified by the linked test cases (see SRS §6).</t>
        </is>
      </c>
      <c r="I70" s="14" t="inlineStr">
        <is>
          <t>T</t>
        </is>
      </c>
      <c r="J70" s="13" t="inlineStr">
        <is>
          <t>TC-03, TC-10, TC-12</t>
        </is>
      </c>
      <c r="K70" s="13" t="inlineStr">
        <is>
          <t>T-10</t>
        </is>
      </c>
      <c r="L70" s="13" t="inlineStr">
        <is>
          <t>feature/zones-fares</t>
        </is>
      </c>
      <c r="M70" s="15" t="inlineStr">
        <is>
          <t>Implemented</t>
        </is>
      </c>
      <c r="N70" s="16" t="inlineStr">
        <is>
          <t>domain/fare.ts; TC-03, TC-10, TC-12 — feature/zones-fares</t>
        </is>
      </c>
      <c r="O70" s="16" t="inlineStr"/>
      <c r="P70" s="4">
        <f>","&amp;SUBSTITUTE(F70," ","")&amp;","</f>
        <v/>
      </c>
    </row>
    <row r="71" ht="63" customHeight="1">
      <c r="A71" s="17" t="inlineStr">
        <is>
          <t>BR-11</t>
        </is>
      </c>
      <c r="B71" s="9" t="inlineStr">
        <is>
          <t>BR</t>
        </is>
      </c>
      <c r="C71" s="9" t="inlineStr">
        <is>
          <t>RULES</t>
        </is>
      </c>
      <c r="D71" s="17" t="inlineStr">
        <is>
          <t>Rates (MVP defaults, configurable). BASE_FARE_PAISA = 3000 (৳30), PER_KM_PAISA = 1500 (৳15/km), POOL_DISCOUNT_BPS = 2000 (20 % of the distance charge), CANCELLATION_FEE_PAISA = 2000 (৳20). The base fare is never discounted.</t>
        </is>
      </c>
      <c r="E71" s="9" t="inlineStr">
        <is>
          <t>M</t>
        </is>
      </c>
      <c r="F71" s="9" t="inlineStr">
        <is>
          <t>5</t>
        </is>
      </c>
      <c r="G71" s="9" t="inlineStr">
        <is>
          <t>6.3</t>
        </is>
      </c>
      <c r="H71" s="17" t="inlineStr">
        <is>
          <t>Verified by the linked test cases (see SRS §6).</t>
        </is>
      </c>
      <c r="I71" s="9" t="inlineStr">
        <is>
          <t>T</t>
        </is>
      </c>
      <c r="J71" s="17" t="inlineStr">
        <is>
          <t>TC-03</t>
        </is>
      </c>
      <c r="K71" s="17" t="inlineStr">
        <is>
          <t>T-10</t>
        </is>
      </c>
      <c r="L71" s="17" t="inlineStr">
        <is>
          <t>feature/zones-fares</t>
        </is>
      </c>
      <c r="M71" s="15" t="inlineStr">
        <is>
          <t>Implemented</t>
        </is>
      </c>
      <c r="N71" s="16" t="inlineStr">
        <is>
          <t>FARE_* env rates via config/rules.ts CURRENT_FARE_RATES; base never discounted (test) — feature/zones-fares</t>
        </is>
      </c>
      <c r="O71" s="16" t="inlineStr"/>
      <c r="P71" s="4">
        <f>","&amp;SUBSTITUTE(F71," ","")&amp;","</f>
        <v/>
      </c>
    </row>
    <row r="72" ht="78" customHeight="1">
      <c r="A72" s="13" t="inlineStr">
        <is>
          <t>BR-12</t>
        </is>
      </c>
      <c r="B72" s="14" t="inlineStr">
        <is>
          <t>BR</t>
        </is>
      </c>
      <c r="C72" s="14" t="inlineStr">
        <is>
          <t>RULES</t>
        </is>
      </c>
      <c r="D72" s="13" t="inlineStr">
        <is>
          <t>Locking. The estimate is shown at request time. The final fare is fixed at trip start. pooled = true only if two or more distinct passengers' requests move to STARTED together in that pool. One passenger booking two seats does not count as pooling. The fare and the rates used are stored immutably.</t>
        </is>
      </c>
      <c r="E72" s="14" t="inlineStr">
        <is>
          <t>M</t>
        </is>
      </c>
      <c r="F72" s="14" t="inlineStr">
        <is>
          <t>5</t>
        </is>
      </c>
      <c r="G72" s="14" t="inlineStr">
        <is>
          <t>6.3</t>
        </is>
      </c>
      <c r="H72" s="13" t="inlineStr">
        <is>
          <t>Verified by the linked test cases (see SRS §6).</t>
        </is>
      </c>
      <c r="I72" s="14" t="inlineStr">
        <is>
          <t>T</t>
        </is>
      </c>
      <c r="J72" s="13" t="inlineStr">
        <is>
          <t>TC-09, TC-10</t>
        </is>
      </c>
      <c r="K72" s="13" t="inlineStr">
        <is>
          <t>T-10</t>
        </is>
      </c>
      <c r="L72" s="13" t="inlineStr">
        <is>
          <t>feature/zones-fares</t>
        </is>
      </c>
      <c r="M72" s="15" t="inlineStr">
        <is>
          <t>In Progress</t>
        </is>
      </c>
      <c r="N72" s="16" t="inlineStr">
        <is>
          <t>computeFare takes the pooled flag (TC-10: 2 seats of 1 passenger not pooled); locking at start in feature/driver-flow — feature/zones-fares</t>
        </is>
      </c>
      <c r="O72" s="16" t="inlineStr"/>
      <c r="P72" s="4">
        <f>","&amp;SUBSTITUTE(F72," ","")&amp;","</f>
        <v/>
      </c>
    </row>
    <row r="73" ht="48" customHeight="1">
      <c r="A73" s="17" t="inlineStr">
        <is>
          <t>BR-13</t>
        </is>
      </c>
      <c r="B73" s="9" t="inlineStr">
        <is>
          <t>BR</t>
        </is>
      </c>
      <c r="C73" s="9" t="inlineStr">
        <is>
          <t>RULES</t>
        </is>
      </c>
      <c r="D73" s="17" t="inlineStr">
        <is>
          <t>Rounding. Half-up to a whole paisa, applied only where BR-10 says. With the default rates and whole-100 m distances, every result is exact.</t>
        </is>
      </c>
      <c r="E73" s="9" t="inlineStr">
        <is>
          <t>M</t>
        </is>
      </c>
      <c r="F73" s="9" t="inlineStr">
        <is>
          <t>5</t>
        </is>
      </c>
      <c r="G73" s="9" t="inlineStr">
        <is>
          <t>6.3</t>
        </is>
      </c>
      <c r="H73" s="17" t="inlineStr">
        <is>
          <t>Verified by the linked test cases (see SRS §6).</t>
        </is>
      </c>
      <c r="I73" s="9" t="inlineStr">
        <is>
          <t>T</t>
        </is>
      </c>
      <c r="J73" s="17" t="inlineStr">
        <is>
          <t>TC-03</t>
        </is>
      </c>
      <c r="K73" s="17" t="inlineStr">
        <is>
          <t>T-10</t>
        </is>
      </c>
      <c r="L73" s="17" t="inlineStr">
        <is>
          <t>feature/zones-fares</t>
        </is>
      </c>
      <c r="M73" s="15" t="inlineStr">
        <is>
          <t>Implemented</t>
        </is>
      </c>
      <c r="N73" s="16" t="inlineStr">
        <is>
          <t>roundHalfUpDiv on the integer remainder; test/domain/money.test.ts — feature/zones-fares</t>
        </is>
      </c>
      <c r="O73" s="16" t="inlineStr"/>
      <c r="P73" s="4">
        <f>","&amp;SUBSTITUTE(F73," ","")&amp;","</f>
        <v/>
      </c>
    </row>
    <row r="74" ht="33" customHeight="1">
      <c r="A74" s="13" t="inlineStr">
        <is>
          <t>BR-14</t>
        </is>
      </c>
      <c r="B74" s="14" t="inlineStr">
        <is>
          <t>BR</t>
        </is>
      </c>
      <c r="C74" s="14" t="inlineStr">
        <is>
          <t>RULES</t>
        </is>
      </c>
      <c r="D74" s="13" t="inlineStr">
        <is>
          <t>Money storage. Integer paisa in 64-bit integer columns. There is no floating point anywhere in money logic (D-05).</t>
        </is>
      </c>
      <c r="E74" s="14" t="inlineStr">
        <is>
          <t>M</t>
        </is>
      </c>
      <c r="F74" s="14" t="inlineStr">
        <is>
          <t>5</t>
        </is>
      </c>
      <c r="G74" s="14" t="inlineStr">
        <is>
          <t>6.3</t>
        </is>
      </c>
      <c r="H74" s="13" t="inlineStr">
        <is>
          <t>Verified by the linked test cases (see SRS §6).</t>
        </is>
      </c>
      <c r="I74" s="14" t="inlineStr">
        <is>
          <t>I, T</t>
        </is>
      </c>
      <c r="J74" s="13" t="inlineStr">
        <is>
          <t>TC-45</t>
        </is>
      </c>
      <c r="K74" s="13" t="inlineStr">
        <is>
          <t>T-06</t>
        </is>
      </c>
      <c r="L74" s="13" t="inlineStr">
        <is>
          <t>feature/db-schema</t>
        </is>
      </c>
      <c r="M74" s="15" t="inlineStr">
        <is>
          <t>Implemented</t>
        </is>
      </c>
      <c r="N74" s="16" t="inlineStr">
        <is>
          <t>BIGINT *_paisa columns; db/money.ts exact conversion — feature/db-schema</t>
        </is>
      </c>
      <c r="O74" s="16" t="inlineStr"/>
      <c r="P74" s="4">
        <f>","&amp;SUBSTITUTE(F74," ","")&amp;","</f>
        <v/>
      </c>
    </row>
    <row r="75" ht="63" customHeight="1">
      <c r="A75" s="17" t="inlineStr">
        <is>
          <t>BR-15</t>
        </is>
      </c>
      <c r="B75" s="9" t="inlineStr">
        <is>
          <t>BR</t>
        </is>
      </c>
      <c r="C75" s="9" t="inlineStr">
        <is>
          <t>RULES</t>
        </is>
      </c>
      <c r="D75" s="17" t="inlineStr">
        <is>
          <t>TeslaPay settlement. When a member is completed, the locked fare is debited in the same transaction as the COMPLETED transition. If the balance is insufficient at that moment (A-14), the payment status becomes PENDING_CASH and the driver collects cash.</t>
        </is>
      </c>
      <c r="E75" s="9" t="inlineStr">
        <is>
          <t>M</t>
        </is>
      </c>
      <c r="F75" s="9" t="inlineStr">
        <is>
          <t>5</t>
        </is>
      </c>
      <c r="G75" s="9" t="inlineStr">
        <is>
          <t>6.5</t>
        </is>
      </c>
      <c r="H75" s="17" t="inlineStr">
        <is>
          <t>Verified by the linked test cases (see SRS §6).</t>
        </is>
      </c>
      <c r="I75" s="9" t="inlineStr">
        <is>
          <t>T</t>
        </is>
      </c>
      <c r="J75" s="17" t="inlineStr">
        <is>
          <t>TC-26</t>
        </is>
      </c>
      <c r="K75" s="17" t="inlineStr">
        <is>
          <t>T-18</t>
        </is>
      </c>
      <c r="L75" s="17" t="inlineStr">
        <is>
          <t>feature/teslapay-wallet</t>
        </is>
      </c>
      <c r="M75" s="15" t="inlineStr">
        <is>
          <t>Proposed</t>
        </is>
      </c>
      <c r="N75" s="16" t="inlineStr"/>
      <c r="O75" s="16" t="inlineStr"/>
      <c r="P75" s="4">
        <f>","&amp;SUBSTITUTE(F75," ","")&amp;","</f>
        <v/>
      </c>
    </row>
    <row r="76" ht="33" customHeight="1">
      <c r="A76" s="13" t="inlineStr">
        <is>
          <t>BR-16</t>
        </is>
      </c>
      <c r="B76" s="14" t="inlineStr">
        <is>
          <t>BR</t>
        </is>
      </c>
      <c r="C76" s="14" t="inlineStr">
        <is>
          <t>RULES</t>
        </is>
      </c>
      <c r="D76" s="13" t="inlineStr">
        <is>
          <t>Cash settlement. The payment is PENDING_CASH on completion and becomes PAID when the driver marks it collected.</t>
        </is>
      </c>
      <c r="E76" s="14" t="inlineStr">
        <is>
          <t>M</t>
        </is>
      </c>
      <c r="F76" s="14" t="inlineStr">
        <is>
          <t>5</t>
        </is>
      </c>
      <c r="G76" s="14" t="inlineStr">
        <is>
          <t>6.5</t>
        </is>
      </c>
      <c r="H76" s="13" t="inlineStr">
        <is>
          <t>Verified by the linked test cases (see SRS §6).</t>
        </is>
      </c>
      <c r="I76" s="14" t="inlineStr">
        <is>
          <t>T</t>
        </is>
      </c>
      <c r="J76" s="13" t="inlineStr">
        <is>
          <t>TC-27</t>
        </is>
      </c>
      <c r="K76" s="13" t="inlineStr">
        <is>
          <t>T-18</t>
        </is>
      </c>
      <c r="L76" s="13" t="inlineStr">
        <is>
          <t>feature/teslapay-wallet</t>
        </is>
      </c>
      <c r="M76" s="15" t="inlineStr">
        <is>
          <t>Proposed</t>
        </is>
      </c>
      <c r="N76" s="16" t="inlineStr"/>
      <c r="O76" s="16" t="inlineStr"/>
      <c r="P76" s="4">
        <f>","&amp;SUBSTITUTE(F76," ","")&amp;","</f>
        <v/>
      </c>
    </row>
    <row r="77" ht="33" customHeight="1">
      <c r="A77" s="17" t="inlineStr">
        <is>
          <t>BR-17</t>
        </is>
      </c>
      <c r="B77" s="9" t="inlineStr">
        <is>
          <t>BR</t>
        </is>
      </c>
      <c r="C77" s="9" t="inlineStr">
        <is>
          <t>RULES</t>
        </is>
      </c>
      <c r="D77" s="17" t="inlineStr">
        <is>
          <t>Top-up. Simulated only, ৳50–৳5,000 per operation, credited immediately.</t>
        </is>
      </c>
      <c r="E77" s="9" t="inlineStr">
        <is>
          <t>M</t>
        </is>
      </c>
      <c r="F77" s="9" t="inlineStr">
        <is>
          <t>5</t>
        </is>
      </c>
      <c r="G77" s="9" t="inlineStr">
        <is>
          <t>6.5</t>
        </is>
      </c>
      <c r="H77" s="17" t="inlineStr">
        <is>
          <t>Verified by the linked test cases (see SRS §6).</t>
        </is>
      </c>
      <c r="I77" s="9" t="inlineStr">
        <is>
          <t>T</t>
        </is>
      </c>
      <c r="J77" s="17" t="inlineStr">
        <is>
          <t>TC-29</t>
        </is>
      </c>
      <c r="K77" s="17" t="inlineStr">
        <is>
          <t>T-18</t>
        </is>
      </c>
      <c r="L77" s="17" t="inlineStr">
        <is>
          <t>feature/teslapay-wallet</t>
        </is>
      </c>
      <c r="M77" s="15" t="inlineStr">
        <is>
          <t>Proposed</t>
        </is>
      </c>
      <c r="N77" s="16" t="inlineStr"/>
      <c r="O77" s="16" t="inlineStr"/>
      <c r="P77" s="4">
        <f>","&amp;SUBSTITUTE(F77," ","")&amp;","</f>
        <v/>
      </c>
    </row>
    <row r="78" ht="138" customHeight="1">
      <c r="A78" s="13" t="inlineStr">
        <is>
          <t>BR-18</t>
        </is>
      </c>
      <c r="B78" s="14" t="inlineStr">
        <is>
          <t>BR</t>
        </is>
      </c>
      <c r="C78" s="14" t="inlineStr">
        <is>
          <t>RULES</t>
        </is>
      </c>
      <c r="D78" s="13" t="inlineStr">
        <is>
          <t>Same-gender rides. Let G(x) be a passenger's declared gender. A pool's restriction is FEMALE_ONLY or MALE_ONLY if any active member requested a same-gender ride, and NONE otherwise. Request R may join pool P only if: (a) when P is restricted, G(R) matches the restriction; and (b) when R requests a same-gender ride, every active member of P has gender G(R). Passengers with PREFER_NOT_TO_SAY can join only unrestricted pools. The driver's gender is not considered. The fare rules are unchanged (BR-10…12).</t>
        </is>
      </c>
      <c r="E78" s="14" t="inlineStr">
        <is>
          <t>M</t>
        </is>
      </c>
      <c r="F78" s="14" t="inlineStr">
        <is>
          <t>2, 4</t>
        </is>
      </c>
      <c r="G78" s="14" t="inlineStr">
        <is>
          <t>6.1</t>
        </is>
      </c>
      <c r="H78" s="13" t="inlineStr">
        <is>
          <t>Verified by the linked test cases (see SRS §6).</t>
        </is>
      </c>
      <c r="I78" s="14" t="inlineStr">
        <is>
          <t>T</t>
        </is>
      </c>
      <c r="J78" s="13" t="inlineStr">
        <is>
          <t>TC-47, TC-48, TC-49, TC-51</t>
        </is>
      </c>
      <c r="K78" s="13" t="inlineStr">
        <is>
          <t>T-15</t>
        </is>
      </c>
      <c r="L78" s="13" t="inlineStr">
        <is>
          <t>feature/tesla-pooling</t>
        </is>
      </c>
      <c r="M78" s="15" t="inlineStr">
        <is>
          <t>Proposed</t>
        </is>
      </c>
      <c r="N78" s="16" t="inlineStr"/>
      <c r="O78" s="16" t="inlineStr">
        <is>
          <t>Added in SRS v0.3</t>
        </is>
      </c>
      <c r="P78" s="4">
        <f>","&amp;SUBSTITUTE(F78," ","")&amp;","</f>
        <v/>
      </c>
    </row>
    <row r="79" ht="33" customHeight="1">
      <c r="A79" s="17" t="inlineStr">
        <is>
          <t>NFR-SEC-01</t>
        </is>
      </c>
      <c r="B79" s="9" t="inlineStr">
        <is>
          <t>NFR</t>
        </is>
      </c>
      <c r="C79" s="9" t="inlineStr">
        <is>
          <t>SEC</t>
        </is>
      </c>
      <c r="D79" s="17" t="inlineStr">
        <is>
          <t>Passwords shall be stored only as salted, adaptive hashes (bcrypt cost ≥ 10 or argon2id).</t>
        </is>
      </c>
      <c r="E79" s="9" t="inlineStr">
        <is>
          <t>M</t>
        </is>
      </c>
      <c r="F79" s="9" t="inlineStr">
        <is>
          <t>6</t>
        </is>
      </c>
      <c r="G79" s="9" t="inlineStr">
        <is>
          <t>9.1</t>
        </is>
      </c>
      <c r="H79" s="17" t="inlineStr">
        <is>
          <t>No plaintext or reversible password exists in the database or logs.</t>
        </is>
      </c>
      <c r="I79" s="9" t="inlineStr">
        <is>
          <t>I, T</t>
        </is>
      </c>
      <c r="J79" s="17" t="inlineStr">
        <is>
          <t>TC-44</t>
        </is>
      </c>
      <c r="K79" s="17" t="inlineStr">
        <is>
          <t>T-08</t>
        </is>
      </c>
      <c r="L79" s="17" t="inlineStr">
        <is>
          <t>feature/passenger-auth</t>
        </is>
      </c>
      <c r="M79" s="15" t="inlineStr">
        <is>
          <t>Implemented</t>
        </is>
      </c>
      <c r="N79" s="16" t="inlineStr">
        <is>
          <t>bcrypt (cost 12; 4 in tests); TC-44 — feature/passenger-auth</t>
        </is>
      </c>
      <c r="O79" s="16" t="inlineStr"/>
      <c r="P79" s="4">
        <f>","&amp;SUBSTITUTE(F79," ","")&amp;","</f>
        <v/>
      </c>
    </row>
    <row r="80" ht="33" customHeight="1">
      <c r="A80" s="13" t="inlineStr">
        <is>
          <t>NFR-SEC-02</t>
        </is>
      </c>
      <c r="B80" s="14" t="inlineStr">
        <is>
          <t>NFR</t>
        </is>
      </c>
      <c r="C80" s="14" t="inlineStr">
        <is>
          <t>SEC</t>
        </is>
      </c>
      <c r="D80" s="13" t="inlineStr">
        <is>
          <t>Every endpoint except sign-up, sign-in, zones (optional) and health shall require authentication.</t>
        </is>
      </c>
      <c r="E80" s="14" t="inlineStr">
        <is>
          <t>M</t>
        </is>
      </c>
      <c r="F80" s="14" t="inlineStr">
        <is>
          <t>6</t>
        </is>
      </c>
      <c r="G80" s="14" t="inlineStr">
        <is>
          <t>9.1</t>
        </is>
      </c>
      <c r="H80" s="13" t="inlineStr">
        <is>
          <t>Unauthenticated calls return 401.</t>
        </is>
      </c>
      <c r="I80" s="14" t="inlineStr">
        <is>
          <t>T</t>
        </is>
      </c>
      <c r="J80" s="13" t="inlineStr">
        <is>
          <t>TC-32</t>
        </is>
      </c>
      <c r="K80" s="13" t="inlineStr">
        <is>
          <t>T-08</t>
        </is>
      </c>
      <c r="L80" s="13" t="inlineStr">
        <is>
          <t>feature/passenger-auth</t>
        </is>
      </c>
      <c r="M80" s="15" t="inlineStr">
        <is>
          <t>In Progress</t>
        </is>
      </c>
      <c r="N80" s="16" t="inlineStr">
        <is>
          <t>requireAuth in place; applied to each new endpoint as modules arrive — feature/passenger-auth</t>
        </is>
      </c>
      <c r="O80" s="16" t="inlineStr"/>
      <c r="P80" s="4">
        <f>","&amp;SUBSTITUTE(F80," ","")&amp;","</f>
        <v/>
      </c>
    </row>
    <row r="81" ht="63" customHeight="1">
      <c r="A81" s="17" t="inlineStr">
        <is>
          <t>NFR-SEC-03</t>
        </is>
      </c>
      <c r="B81" s="9" t="inlineStr">
        <is>
          <t>NFR</t>
        </is>
      </c>
      <c r="C81" s="9" t="inlineStr">
        <is>
          <t>SEC</t>
        </is>
      </c>
      <c r="D81" s="17" t="inlineStr">
        <is>
          <t>Object-level authorization: a passenger may read or change only their own requests and wallet. A driver may act only on their own pool and on requests shown to them as relevant. Role checks apply to every endpoint.</t>
        </is>
      </c>
      <c r="E81" s="9" t="inlineStr">
        <is>
          <t>M</t>
        </is>
      </c>
      <c r="F81" s="9" t="inlineStr">
        <is>
          <t>2, 6, 12</t>
        </is>
      </c>
      <c r="G81" s="9" t="inlineStr">
        <is>
          <t>9.1</t>
        </is>
      </c>
      <c r="H81" s="17" t="inlineStr">
        <is>
          <t>Rafiq cancelling Nusrat's ride returns 404/403 and nothing changes. Nusrat calling a driver endpoint returns 403. This is covered by automated tests.</t>
        </is>
      </c>
      <c r="I81" s="9" t="inlineStr">
        <is>
          <t>T</t>
        </is>
      </c>
      <c r="J81" s="17" t="inlineStr">
        <is>
          <t>TC-04, TC-13</t>
        </is>
      </c>
      <c r="K81" s="17" t="inlineStr">
        <is>
          <t>T-09</t>
        </is>
      </c>
      <c r="L81" s="17" t="inlineStr">
        <is>
          <t>feature/passenger-auth</t>
        </is>
      </c>
      <c r="M81" s="15" t="inlineStr">
        <is>
          <t>In Progress</t>
        </is>
      </c>
      <c r="N81" s="16" t="inlineStr">
        <is>
          <t>Role guards (feature/passenger-auth); rides scoped to their owner, 404 for others (TC-04 part) — feature/ride-request</t>
        </is>
      </c>
      <c r="O81" s="16" t="inlineStr"/>
      <c r="P81" s="4">
        <f>","&amp;SUBSTITUTE(F81," ","")&amp;","</f>
        <v/>
      </c>
    </row>
    <row r="82" ht="33" customHeight="1">
      <c r="A82" s="13" t="inlineStr">
        <is>
          <t>NFR-SEC-04</t>
        </is>
      </c>
      <c r="B82" s="14" t="inlineStr">
        <is>
          <t>NFR</t>
        </is>
      </c>
      <c r="C82" s="14" t="inlineStr">
        <is>
          <t>SEC</t>
        </is>
      </c>
      <c r="D82" s="13" t="inlineStr">
        <is>
          <t>All input shall be validated against a schema at the API boundary (types, ranges, enums, unknown fields rejected).</t>
        </is>
      </c>
      <c r="E82" s="14" t="inlineStr">
        <is>
          <t>M</t>
        </is>
      </c>
      <c r="F82" s="14" t="inlineStr">
        <is>
          <t>6</t>
        </is>
      </c>
      <c r="G82" s="14" t="inlineStr">
        <is>
          <t>9.1</t>
        </is>
      </c>
      <c r="H82" s="13" t="inlineStr">
        <is>
          <t>Invalid payloads return 400 VALIDATION_ERROR with field details.</t>
        </is>
      </c>
      <c r="I82" s="14" t="inlineStr">
        <is>
          <t>T</t>
        </is>
      </c>
      <c r="J82" s="13" t="inlineStr">
        <is>
          <t>TC-33</t>
        </is>
      </c>
      <c r="K82" s="13" t="inlineStr">
        <is>
          <t>T-04</t>
        </is>
      </c>
      <c r="L82" s="13" t="inlineStr">
        <is>
          <t>feature/project-setup</t>
        </is>
      </c>
      <c r="M82" s="15" t="inlineStr">
        <is>
          <t>In Progress</t>
        </is>
      </c>
      <c r="N82" s="16" t="inlineStr">
        <is>
          <t>validateBody with strict shared schemas for auth, estimates and rides; list query parsed with Zod — feature/ride-request</t>
        </is>
      </c>
      <c r="O82" s="16" t="inlineStr"/>
      <c r="P82" s="4">
        <f>","&amp;SUBSTITUTE(F82," ","")&amp;","</f>
        <v/>
      </c>
    </row>
    <row r="83" ht="33" customHeight="1">
      <c r="A83" s="17" t="inlineStr">
        <is>
          <t>NFR-SEC-05</t>
        </is>
      </c>
      <c r="B83" s="9" t="inlineStr">
        <is>
          <t>NFR</t>
        </is>
      </c>
      <c r="C83" s="9" t="inlineStr">
        <is>
          <t>SEC</t>
        </is>
      </c>
      <c r="D83" s="17" t="inlineStr">
        <is>
          <t>Secrets shall come only from environment variables. .env.example has placeholders only, and no real secret is committed.</t>
        </is>
      </c>
      <c r="E83" s="9" t="inlineStr">
        <is>
          <t>M</t>
        </is>
      </c>
      <c r="F83" s="9" t="inlineStr">
        <is>
          <t>6, 16</t>
        </is>
      </c>
      <c r="G83" s="9" t="inlineStr">
        <is>
          <t>9.1</t>
        </is>
      </c>
      <c r="H83" s="17" t="inlineStr">
        <is>
          <t>The repository scan finds no secrets, and .env is git-ignored.</t>
        </is>
      </c>
      <c r="I83" s="9" t="inlineStr">
        <is>
          <t>I</t>
        </is>
      </c>
      <c r="J83" s="17" t="inlineStr">
        <is>
          <t>TC-34</t>
        </is>
      </c>
      <c r="K83" s="17" t="inlineStr">
        <is>
          <t>T-05</t>
        </is>
      </c>
      <c r="L83" s="17" t="inlineStr">
        <is>
          <t>feature/project-setup</t>
        </is>
      </c>
      <c r="M83" s="15" t="inlineStr">
        <is>
          <t>Implemented</t>
        </is>
      </c>
      <c r="N83" s="16" t="inlineStr">
        <is>
          <t>.gitignore excludes .env; .env.example placeholders only — commits f221565, 7d59b8d</t>
        </is>
      </c>
      <c r="O83" s="16" t="inlineStr"/>
      <c r="P83" s="4">
        <f>","&amp;SUBSTITUTE(F83," ","")&amp;","</f>
        <v/>
      </c>
    </row>
    <row r="84" ht="63" customHeight="1">
      <c r="A84" s="13" t="inlineStr">
        <is>
          <t>NFR-SEC-06</t>
        </is>
      </c>
      <c r="B84" s="14" t="inlineStr">
        <is>
          <t>NFR</t>
        </is>
      </c>
      <c r="C84" s="14" t="inlineStr">
        <is>
          <t>SEC</t>
        </is>
      </c>
      <c r="D84" s="13" t="inlineStr">
        <is>
          <t>Session tokens shall be protected: an httpOnly, SameSite cookie (Secure in production), or a short-lived bearer token. CORS is restricted to the frontend origin. Standard security headers are set.</t>
        </is>
      </c>
      <c r="E84" s="14" t="inlineStr">
        <is>
          <t>M</t>
        </is>
      </c>
      <c r="F84" s="14" t="inlineStr">
        <is>
          <t>6</t>
        </is>
      </c>
      <c r="G84" s="14" t="inlineStr">
        <is>
          <t>9.1</t>
        </is>
      </c>
      <c r="H84" s="13" t="inlineStr">
        <is>
          <t>Inspection of headers and cookie flags passes.</t>
        </is>
      </c>
      <c r="I84" s="14" t="inlineStr">
        <is>
          <t>I</t>
        </is>
      </c>
      <c r="J84" s="13" t="inlineStr">
        <is>
          <t>TC-06, TC-07</t>
        </is>
      </c>
      <c r="K84" s="13" t="inlineStr">
        <is>
          <t>T-04, T-08</t>
        </is>
      </c>
      <c r="L84" s="13" t="inlineStr">
        <is>
          <t>feature/project-setup, feature/passenger-auth</t>
        </is>
      </c>
      <c r="M84" s="15" t="inlineStr">
        <is>
          <t>Implemented</t>
        </is>
      </c>
      <c r="N84" s="16" t="inlineStr">
        <is>
          <t>httpOnly SameSite=Lax cookie (Secure via COOKIE_SECURE), helmet, CORS — feature/passenger-auth</t>
        </is>
      </c>
      <c r="O84" s="16" t="inlineStr"/>
      <c r="P84" s="4">
        <f>","&amp;SUBSTITUTE(F84," ","")&amp;","</f>
        <v/>
      </c>
    </row>
    <row r="85" ht="18" customHeight="1">
      <c r="A85" s="17" t="inlineStr">
        <is>
          <t>NFR-SEC-07</t>
        </is>
      </c>
      <c r="B85" s="9" t="inlineStr">
        <is>
          <t>NFR</t>
        </is>
      </c>
      <c r="C85" s="9" t="inlineStr">
        <is>
          <t>SEC</t>
        </is>
      </c>
      <c r="D85" s="17" t="inlineStr">
        <is>
          <t>Authentication endpoints shall be rate-limited per IP.</t>
        </is>
      </c>
      <c r="E85" s="9" t="inlineStr">
        <is>
          <t>S</t>
        </is>
      </c>
      <c r="F85" s="9" t="inlineStr">
        <is>
          <t>12</t>
        </is>
      </c>
      <c r="G85" s="9" t="inlineStr">
        <is>
          <t>9.1</t>
        </is>
      </c>
      <c r="H85" s="17" t="inlineStr">
        <is>
          <t>More than 10 login attempts per minute from one IP returns 429.</t>
        </is>
      </c>
      <c r="I85" s="9" t="inlineStr">
        <is>
          <t>T</t>
        </is>
      </c>
      <c r="J85" s="17" t="inlineStr">
        <is>
          <t>TC-38</t>
        </is>
      </c>
      <c r="K85" s="17" t="inlineStr">
        <is>
          <t>T-09</t>
        </is>
      </c>
      <c r="L85" s="17" t="inlineStr">
        <is>
          <t>feature/passenger-auth</t>
        </is>
      </c>
      <c r="M85" s="15" t="inlineStr">
        <is>
          <t>Implemented</t>
        </is>
      </c>
      <c r="N85" s="16" t="inlineStr">
        <is>
          <t>express-rate-limit 10/min per IP; TC-38 — feature/passenger-auth</t>
        </is>
      </c>
      <c r="O85" s="16" t="inlineStr"/>
      <c r="P85" s="4">
        <f>","&amp;SUBSTITUTE(F85," ","")&amp;","</f>
        <v/>
      </c>
    </row>
    <row r="86" ht="18" customHeight="1">
      <c r="A86" s="13" t="inlineStr">
        <is>
          <t>NFR-SEC-08</t>
        </is>
      </c>
      <c r="B86" s="14" t="inlineStr">
        <is>
          <t>NFR</t>
        </is>
      </c>
      <c r="C86" s="14" t="inlineStr">
        <is>
          <t>SEC</t>
        </is>
      </c>
      <c r="D86" s="13" t="inlineStr">
        <is>
          <t>Database access shall use parameterised queries or an ORM only.</t>
        </is>
      </c>
      <c r="E86" s="14" t="inlineStr">
        <is>
          <t>M</t>
        </is>
      </c>
      <c r="F86" s="14" t="inlineStr">
        <is>
          <t>6</t>
        </is>
      </c>
      <c r="G86" s="14" t="inlineStr">
        <is>
          <t>9.1</t>
        </is>
      </c>
      <c r="H86" s="13" t="inlineStr">
        <is>
          <t>No string-concatenated SQL appears in the code.</t>
        </is>
      </c>
      <c r="I86" s="14" t="inlineStr">
        <is>
          <t>I</t>
        </is>
      </c>
      <c r="J86" s="13" t="inlineStr">
        <is>
          <t>TC-06</t>
        </is>
      </c>
      <c r="K86" s="13" t="inlineStr">
        <is>
          <t>T-04</t>
        </is>
      </c>
      <c r="L86" s="13" t="inlineStr">
        <is>
          <t>feature/project-setup</t>
        </is>
      </c>
      <c r="M86" s="15" t="inlineStr">
        <is>
          <t>In Progress</t>
        </is>
      </c>
      <c r="N86" s="16" t="inlineStr">
        <is>
          <t>Prisma query API + tagged $queryRaw only — feature/db-schema</t>
        </is>
      </c>
      <c r="O86" s="16" t="inlineStr"/>
      <c r="P86" s="4">
        <f>","&amp;SUBSTITUTE(F86," ","")&amp;","</f>
        <v/>
      </c>
    </row>
    <row r="87" ht="33" customHeight="1">
      <c r="A87" s="17" t="inlineStr">
        <is>
          <t>NFR-SEC-09</t>
        </is>
      </c>
      <c r="B87" s="9" t="inlineStr">
        <is>
          <t>NFR</t>
        </is>
      </c>
      <c r="C87" s="9" t="inlineStr">
        <is>
          <t>SEC</t>
        </is>
      </c>
      <c r="D87" s="17" t="inlineStr">
        <is>
          <t>Error responses shall not leak stack traces or internal details in production.</t>
        </is>
      </c>
      <c r="E87" s="9" t="inlineStr">
        <is>
          <t>M</t>
        </is>
      </c>
      <c r="F87" s="9" t="inlineStr">
        <is>
          <t>6</t>
        </is>
      </c>
      <c r="G87" s="9" t="inlineStr">
        <is>
          <t>9.1</t>
        </is>
      </c>
      <c r="H87" s="17" t="inlineStr">
        <is>
          <t>A 500 response contains only the code, a generic message and the requestId.</t>
        </is>
      </c>
      <c r="I87" s="9" t="inlineStr">
        <is>
          <t>T</t>
        </is>
      </c>
      <c r="J87" s="17" t="inlineStr">
        <is>
          <t>TC-34</t>
        </is>
      </c>
      <c r="K87" s="17" t="inlineStr">
        <is>
          <t>T-04</t>
        </is>
      </c>
      <c r="L87" s="17" t="inlineStr">
        <is>
          <t>feature/project-setup</t>
        </is>
      </c>
      <c r="M87" s="15" t="inlineStr">
        <is>
          <t>Implemented</t>
        </is>
      </c>
      <c r="N87" s="16" t="inlineStr">
        <is>
          <t>Generic INTERNAL_ERROR message; details only in logs — commit 51da796</t>
        </is>
      </c>
      <c r="O87" s="16" t="inlineStr"/>
      <c r="P87" s="4">
        <f>","&amp;SUBSTITUTE(F87," ","")&amp;","</f>
        <v/>
      </c>
    </row>
    <row r="88" ht="63" customHeight="1">
      <c r="A88" s="13" t="inlineStr">
        <is>
          <t>NFR-CON-01</t>
        </is>
      </c>
      <c r="B88" s="14" t="inlineStr">
        <is>
          <t>NFR</t>
        </is>
      </c>
      <c r="C88" s="14" t="inlineStr">
        <is>
          <t>CON</t>
        </is>
      </c>
      <c r="D88" s="13" t="inlineStr">
        <is>
          <t>Last-seat race. When Bullet has 1 free seat and two accept operations for different 1-seat requests (Nusrat's and Shirin's) run concurrently, exactly one shall succeed. The other returns 409 CAPACITY_EXCEEDED, and occupied seats never exceed capacity.</t>
        </is>
      </c>
      <c r="E88" s="14" t="inlineStr">
        <is>
          <t>M</t>
        </is>
      </c>
      <c r="F88" s="14" t="inlineStr">
        <is>
          <t>12</t>
        </is>
      </c>
      <c r="G88" s="14" t="inlineStr">
        <is>
          <t>9.2</t>
        </is>
      </c>
      <c r="H88" s="13" t="inlineStr">
        <is>
          <t>An automated test fires both accepts in parallel N times (N ≥ 20). Every run has exactly one success, and the DB CHECK is never violated.</t>
        </is>
      </c>
      <c r="I88" s="14" t="inlineStr">
        <is>
          <t>T</t>
        </is>
      </c>
      <c r="J88" s="13" t="inlineStr">
        <is>
          <t>TC-06, TC-07</t>
        </is>
      </c>
      <c r="K88" s="13" t="inlineStr">
        <is>
          <t>T-15, T-16</t>
        </is>
      </c>
      <c r="L88" s="13" t="inlineStr">
        <is>
          <t>feature/tesla-pooling</t>
        </is>
      </c>
      <c r="M88" s="15" t="inlineStr">
        <is>
          <t>Proposed</t>
        </is>
      </c>
      <c r="N88" s="16" t="inlineStr"/>
      <c r="O88" s="16" t="inlineStr"/>
      <c r="P88" s="4">
        <f>","&amp;SUBSTITUTE(F88," ","")&amp;","</f>
        <v/>
      </c>
    </row>
    <row r="89" ht="63" customHeight="1">
      <c r="A89" s="17" t="inlineStr">
        <is>
          <t>NFR-CON-02</t>
        </is>
      </c>
      <c r="B89" s="9" t="inlineStr">
        <is>
          <t>NFR</t>
        </is>
      </c>
      <c r="C89" s="9" t="inlineStr">
        <is>
          <t>CON</t>
        </is>
      </c>
      <c r="D89" s="17" t="inlineStr">
        <is>
          <t>Every state transition shall be an atomic compare-and-set on the current status (e.g. update … where status = expected), inside a DB transaction together with all its side effects (membership, seats, fare, payment, audit).</t>
        </is>
      </c>
      <c r="E89" s="9" t="inlineStr">
        <is>
          <t>M</t>
        </is>
      </c>
      <c r="F89" s="9" t="inlineStr">
        <is>
          <t>6, 12</t>
        </is>
      </c>
      <c r="G89" s="9" t="inlineStr">
        <is>
          <t>9.2</t>
        </is>
      </c>
      <c r="H89" s="17" t="inlineStr">
        <is>
          <t>A crash or error mid-operation leaves no partial state. Two concurrent transitions on the same entity give one success and one 409.</t>
        </is>
      </c>
      <c r="I89" s="9" t="inlineStr">
        <is>
          <t>T</t>
        </is>
      </c>
      <c r="J89" s="17" t="inlineStr">
        <is>
          <t>TC-06, TC-17</t>
        </is>
      </c>
      <c r="K89" s="17" t="inlineStr">
        <is>
          <t>T-12, T-16</t>
        </is>
      </c>
      <c r="L89" s="17" t="inlineStr">
        <is>
          <t>feature/ride-request, feature/tesla-pooling</t>
        </is>
      </c>
      <c r="M89" s="15" t="inlineStr">
        <is>
          <t>In Progress</t>
        </is>
      </c>
      <c r="N89" s="16" t="inlineStr">
        <is>
          <t>CAS on status for cancel and expiry, audit in the same transaction — feature/ride-request; accept/pool moves in feature/tesla-pooling</t>
        </is>
      </c>
      <c r="O89" s="16" t="inlineStr"/>
      <c r="P89" s="4">
        <f>","&amp;SUBSTITUTE(F89," ","")&amp;","</f>
        <v/>
      </c>
    </row>
    <row r="90" ht="63" customHeight="1">
      <c r="A90" s="13" t="inlineStr">
        <is>
          <t>NFR-CON-03</t>
        </is>
      </c>
      <c r="B90" s="14" t="inlineStr">
        <is>
          <t>NFR</t>
        </is>
      </c>
      <c r="C90" s="14" t="inlineStr">
        <is>
          <t>CON</t>
        </is>
      </c>
      <c r="D90" s="13" t="inlineStr">
        <is>
          <t>Seat claims shall be serialised per pool (row-level lock on the pool, or a conditional increment guarded by the capacity CHECK). The chosen mechanism shall be documented in the README together with what would change at larger scale.</t>
        </is>
      </c>
      <c r="E90" s="14" t="inlineStr">
        <is>
          <t>M</t>
        </is>
      </c>
      <c r="F90" s="14" t="inlineStr">
        <is>
          <t>12</t>
        </is>
      </c>
      <c r="G90" s="14" t="inlineStr">
        <is>
          <t>9.2</t>
        </is>
      </c>
      <c r="H90" s="13" t="inlineStr">
        <is>
          <t>The README section "Concurrency" exists and matches the code.</t>
        </is>
      </c>
      <c r="I90" s="14" t="inlineStr">
        <is>
          <t>I, T</t>
        </is>
      </c>
      <c r="J90" s="13" t="inlineStr">
        <is>
          <t>TC-06</t>
        </is>
      </c>
      <c r="K90" s="13" t="inlineStr">
        <is>
          <t>T-15</t>
        </is>
      </c>
      <c r="L90" s="13" t="inlineStr">
        <is>
          <t>feature/tesla-pooling</t>
        </is>
      </c>
      <c r="M90" s="15" t="inlineStr">
        <is>
          <t>Proposed</t>
        </is>
      </c>
      <c r="N90" s="16" t="inlineStr">
        <is>
          <t>Mechanism designed: ARCHITECTURE.md §7, ADR-0006</t>
        </is>
      </c>
      <c r="O90" s="16" t="inlineStr"/>
      <c r="P90" s="4">
        <f>","&amp;SUBSTITUTE(F90," ","")&amp;","</f>
        <v/>
      </c>
    </row>
    <row r="91" ht="48" customHeight="1">
      <c r="A91" s="17" t="inlineStr">
        <is>
          <t>NFR-CON-04</t>
        </is>
      </c>
      <c r="B91" s="9" t="inlineStr">
        <is>
          <t>NFR</t>
        </is>
      </c>
      <c r="C91" s="9" t="inlineStr">
        <is>
          <t>CON</t>
        </is>
      </c>
      <c r="D91" s="17" t="inlineStr">
        <is>
          <t>"One active request per passenger", "one active pool per driver" and "a request is in at most one active pool" shall be enforced by database constraints, in addition to service checks.</t>
        </is>
      </c>
      <c r="E91" s="9" t="inlineStr">
        <is>
          <t>M</t>
        </is>
      </c>
      <c r="F91" s="9" t="inlineStr">
        <is>
          <t>6, 12</t>
        </is>
      </c>
      <c r="G91" s="9" t="inlineStr">
        <is>
          <t>9.2</t>
        </is>
      </c>
      <c r="H91" s="17" t="inlineStr">
        <is>
          <t>Direct concurrent inserts cannot create duplicates.</t>
        </is>
      </c>
      <c r="I91" s="9" t="inlineStr">
        <is>
          <t>T</t>
        </is>
      </c>
      <c r="J91" s="17" t="inlineStr">
        <is>
          <t>TC-18, TC-19</t>
        </is>
      </c>
      <c r="K91" s="17" t="inlineStr">
        <is>
          <t>T-06, T-15</t>
        </is>
      </c>
      <c r="L91" s="17" t="inlineStr">
        <is>
          <t>feature/db-schema, feature/tesla-pooling</t>
        </is>
      </c>
      <c r="M91" s="15" t="inlineStr">
        <is>
          <t>Implemented</t>
        </is>
      </c>
      <c r="N91" s="16" t="inlineStr">
        <is>
          <t>Partial unique indexes; test/db/constraints.test.ts — feature/db-schema</t>
        </is>
      </c>
      <c r="O91" s="16" t="inlineStr"/>
      <c r="P91" s="4">
        <f>","&amp;SUBSTITUTE(F91," ","")&amp;","</f>
        <v/>
      </c>
    </row>
    <row r="92" ht="33" customHeight="1">
      <c r="A92" s="13" t="inlineStr">
        <is>
          <t>NFR-CON-05</t>
        </is>
      </c>
      <c r="B92" s="14" t="inlineStr">
        <is>
          <t>NFR</t>
        </is>
      </c>
      <c r="C92" s="14" t="inlineStr">
        <is>
          <t>CON</t>
        </is>
      </c>
      <c r="D92" s="13" t="inlineStr">
        <is>
          <t>Wallet debits and credits shall be atomic with their ledger entry. The balance can never go negative.</t>
        </is>
      </c>
      <c r="E92" s="14" t="inlineStr">
        <is>
          <t>M</t>
        </is>
      </c>
      <c r="F92" s="14" t="inlineStr">
        <is>
          <t>5, 6</t>
        </is>
      </c>
      <c r="G92" s="14" t="inlineStr">
        <is>
          <t>9.2</t>
        </is>
      </c>
      <c r="H92" s="13" t="inlineStr">
        <is>
          <t>Concurrent debit tests leave balance = Σ ledger and balance ≥ 0.</t>
        </is>
      </c>
      <c r="I92" s="14" t="inlineStr">
        <is>
          <t>T</t>
        </is>
      </c>
      <c r="J92" s="13" t="inlineStr">
        <is>
          <t>TC-26</t>
        </is>
      </c>
      <c r="K92" s="13" t="inlineStr">
        <is>
          <t>T-18</t>
        </is>
      </c>
      <c r="L92" s="13" t="inlineStr">
        <is>
          <t>feature/teslapay-wallet</t>
        </is>
      </c>
      <c r="M92" s="15" t="inlineStr">
        <is>
          <t>Proposed</t>
        </is>
      </c>
      <c r="N92" s="16" t="inlineStr"/>
      <c r="O92" s="16" t="inlineStr"/>
      <c r="P92" s="4">
        <f>","&amp;SUBSTITUTE(F92," ","")&amp;","</f>
        <v/>
      </c>
    </row>
    <row r="93" ht="33" customHeight="1">
      <c r="A93" s="17" t="inlineStr">
        <is>
          <t>NFR-CON-06</t>
        </is>
      </c>
      <c r="B93" s="9" t="inlineStr">
        <is>
          <t>NFR</t>
        </is>
      </c>
      <c r="C93" s="9" t="inlineStr">
        <is>
          <t>CON</t>
        </is>
      </c>
      <c r="D93" s="17" t="inlineStr">
        <is>
          <t>Request creation should be idempotent for client retries (an Idempotency-Key header, or reliance on NFR-CON-04).</t>
        </is>
      </c>
      <c r="E93" s="9" t="inlineStr">
        <is>
          <t>C</t>
        </is>
      </c>
      <c r="F93" s="9" t="inlineStr">
        <is>
          <t>12</t>
        </is>
      </c>
      <c r="G93" s="9" t="inlineStr">
        <is>
          <t>9.2</t>
        </is>
      </c>
      <c r="H93" s="17" t="inlineStr">
        <is>
          <t>A retried POST with the same key returns the original request.</t>
        </is>
      </c>
      <c r="I93" s="9" t="inlineStr">
        <is>
          <t>T</t>
        </is>
      </c>
      <c r="J93" s="17" t="inlineStr">
        <is>
          <t>TC-18</t>
        </is>
      </c>
      <c r="K93" s="17" t="inlineStr">
        <is>
          <t>T-13</t>
        </is>
      </c>
      <c r="L93" s="17" t="inlineStr">
        <is>
          <t>feature/ride-request</t>
        </is>
      </c>
      <c r="M93" s="15" t="inlineStr">
        <is>
          <t>Implemented</t>
        </is>
      </c>
      <c r="N93" s="16" t="inlineStr">
        <is>
          <t>Relies on NFR-CON-04: a retry gets 409 ACTIVE_REQUEST_EXISTS with the original ride id — feature/ride-request</t>
        </is>
      </c>
      <c r="O93" s="16" t="inlineStr"/>
      <c r="P93" s="4">
        <f>","&amp;SUBSTITUTE(F93," ","")&amp;","</f>
        <v/>
      </c>
    </row>
    <row r="94" ht="33" customHeight="1">
      <c r="A94" s="13" t="inlineStr">
        <is>
          <t>NFR-REL-01</t>
        </is>
      </c>
      <c r="B94" s="14" t="inlineStr">
        <is>
          <t>NFR</t>
        </is>
      </c>
      <c r="C94" s="14" t="inlineStr">
        <is>
          <t>REL</t>
        </is>
      </c>
      <c r="D94" s="13" t="inlineStr">
        <is>
          <t>All API errors shall use the standard error format (§8.2), with a correlation requestId.</t>
        </is>
      </c>
      <c r="E94" s="14" t="inlineStr">
        <is>
          <t>M</t>
        </is>
      </c>
      <c r="F94" s="14" t="inlineStr">
        <is>
          <t>6</t>
        </is>
      </c>
      <c r="G94" s="14" t="inlineStr">
        <is>
          <t>9.3</t>
        </is>
      </c>
      <c r="H94" s="13" t="inlineStr">
        <is>
          <t>Contract tests check the error shape.</t>
        </is>
      </c>
      <c r="I94" s="14" t="inlineStr">
        <is>
          <t>T</t>
        </is>
      </c>
      <c r="J94" s="13" t="inlineStr">
        <is>
          <t>TC-34</t>
        </is>
      </c>
      <c r="K94" s="13" t="inlineStr">
        <is>
          <t>T-04</t>
        </is>
      </c>
      <c r="L94" s="13" t="inlineStr">
        <is>
          <t>feature/project-setup</t>
        </is>
      </c>
      <c r="M94" s="15" t="inlineStr">
        <is>
          <t>Implemented</t>
        </is>
      </c>
      <c r="N94" s="16" t="inlineStr">
        <is>
          <t>middleware/error-handler.ts; test/app.test.ts — commit 51da796</t>
        </is>
      </c>
      <c r="O94" s="16" t="inlineStr"/>
      <c r="P94" s="4">
        <f>","&amp;SUBSTITUTE(F94," ","")&amp;","</f>
        <v/>
      </c>
    </row>
    <row r="95" ht="48" customHeight="1">
      <c r="A95" s="17" t="inlineStr">
        <is>
          <t>NFR-REL-02</t>
        </is>
      </c>
      <c r="B95" s="9" t="inlineStr">
        <is>
          <t>NFR</t>
        </is>
      </c>
      <c r="C95" s="9" t="inlineStr">
        <is>
          <t>REL</t>
        </is>
      </c>
      <c r="D95" s="17" t="inlineStr">
        <is>
          <t>GET /health shall report API liveness and DB connectivity. Docker health checks shall use it, and the database container shall have its own health check.</t>
        </is>
      </c>
      <c r="E95" s="9" t="inlineStr">
        <is>
          <t>M</t>
        </is>
      </c>
      <c r="F95" s="9" t="inlineStr">
        <is>
          <t>6</t>
        </is>
      </c>
      <c r="G95" s="9" t="inlineStr">
        <is>
          <t>9.3</t>
        </is>
      </c>
      <c r="H95" s="17" t="inlineStr">
        <is>
          <t>docker compose ps shows the services as healthy. The API starts only after the DB is healthy.</t>
        </is>
      </c>
      <c r="I95" s="9" t="inlineStr">
        <is>
          <t>D, I</t>
        </is>
      </c>
      <c r="J95" s="17" t="inlineStr">
        <is>
          <t>TC-36</t>
        </is>
      </c>
      <c r="K95" s="17" t="inlineStr">
        <is>
          <t>T-05</t>
        </is>
      </c>
      <c r="L95" s="17" t="inlineStr">
        <is>
          <t>feature/project-setup</t>
        </is>
      </c>
      <c r="M95" s="15" t="inlineStr">
        <is>
          <t>Implemented</t>
        </is>
      </c>
      <c r="N95" s="16" t="inlineStr">
        <is>
          <t>/health + compose health checks — commits 51da796, 7d59b8d</t>
        </is>
      </c>
      <c r="O95" s="16" t="inlineStr"/>
      <c r="P95" s="4">
        <f>","&amp;SUBSTITUTE(F95," ","")&amp;","</f>
        <v/>
      </c>
    </row>
    <row r="96" ht="48" customHeight="1">
      <c r="A96" s="13" t="inlineStr">
        <is>
          <t>NFR-REL-03</t>
        </is>
      </c>
      <c r="B96" s="14" t="inlineStr">
        <is>
          <t>NFR</t>
        </is>
      </c>
      <c r="C96" s="14" t="inlineStr">
        <is>
          <t>REL</t>
        </is>
      </c>
      <c r="D96" s="13" t="inlineStr">
        <is>
          <t>If the database is unreachable, the API shall return 503 and recover automatically when the DB returns, with no restart needed.</t>
        </is>
      </c>
      <c r="E96" s="14" t="inlineStr">
        <is>
          <t>S</t>
        </is>
      </c>
      <c r="F96" s="14" t="inlineStr">
        <is>
          <t>6</t>
        </is>
      </c>
      <c r="G96" s="14" t="inlineStr">
        <is>
          <t>9.3</t>
        </is>
      </c>
      <c r="H96" s="13" t="inlineStr">
        <is>
          <t>Manual test: stop the DB, call the API (503), start the DB, call the API (200).</t>
        </is>
      </c>
      <c r="I96" s="14" t="inlineStr">
        <is>
          <t>D</t>
        </is>
      </c>
      <c r="J96" s="13" t="inlineStr">
        <is>
          <t>TC-42</t>
        </is>
      </c>
      <c r="K96" s="13" t="inlineStr">
        <is>
          <t>T-05</t>
        </is>
      </c>
      <c r="L96" s="13" t="inlineStr">
        <is>
          <t>feature/project-setup</t>
        </is>
      </c>
      <c r="M96" s="15" t="inlineStr">
        <is>
          <t>Proposed</t>
        </is>
      </c>
      <c r="N96" s="16" t="inlineStr"/>
      <c r="O96" s="16" t="inlineStr"/>
      <c r="P96" s="4">
        <f>","&amp;SUBSTITUTE(F96," ","")&amp;","</f>
        <v/>
      </c>
    </row>
    <row r="97" ht="48" customHeight="1">
      <c r="A97" s="17" t="inlineStr">
        <is>
          <t>NFR-REL-04</t>
        </is>
      </c>
      <c r="B97" s="9" t="inlineStr">
        <is>
          <t>NFR</t>
        </is>
      </c>
      <c r="C97" s="9" t="inlineStr">
        <is>
          <t>REL</t>
        </is>
      </c>
      <c r="D97" s="17" t="inlineStr">
        <is>
          <t>Request expiry (RT-04) shall be applied reliably even if no scheduler has run: expired requests shall never be accepted and shall show as EXPIRED on read.</t>
        </is>
      </c>
      <c r="E97" s="9" t="inlineStr">
        <is>
          <t>M</t>
        </is>
      </c>
      <c r="F97" s="9" t="inlineStr">
        <is>
          <t>3</t>
        </is>
      </c>
      <c r="G97" s="9" t="inlineStr">
        <is>
          <t>9.3</t>
        </is>
      </c>
      <c r="H97" s="17" t="inlineStr">
        <is>
          <t>Accepting a request older than 15 min returns 409, whether or not the sweeper has run.</t>
        </is>
      </c>
      <c r="I97" s="9" t="inlineStr">
        <is>
          <t>T</t>
        </is>
      </c>
      <c r="J97" s="17" t="inlineStr">
        <is>
          <t>TC-24</t>
        </is>
      </c>
      <c r="K97" s="17" t="inlineStr">
        <is>
          <t>T-13</t>
        </is>
      </c>
      <c r="L97" s="17" t="inlineStr">
        <is>
          <t>feature/ride-request</t>
        </is>
      </c>
      <c r="M97" s="15" t="inlineStr">
        <is>
          <t>In Progress</t>
        </is>
      </c>
      <c r="N97" s="16" t="inlineStr">
        <is>
          <t>Expiry on read and before every passenger command, plus the 60 s sweep — feature/ride-request; accept check in feature/tesla-pooling</t>
        </is>
      </c>
      <c r="O97" s="16" t="inlineStr"/>
      <c r="P97" s="4">
        <f>","&amp;SUBSTITUTE(F97," ","")&amp;","</f>
        <v/>
      </c>
    </row>
    <row r="98" ht="33" customHeight="1">
      <c r="A98" s="13" t="inlineStr">
        <is>
          <t>NFR-PERF-01</t>
        </is>
      </c>
      <c r="B98" s="14" t="inlineStr">
        <is>
          <t>NFR</t>
        </is>
      </c>
      <c r="C98" s="14" t="inlineStr">
        <is>
          <t>PERF</t>
        </is>
      </c>
      <c r="D98" s="13" t="inlineStr">
        <is>
          <t>With seed-scale data on the local Docker setup, 95 % of API requests shall complete in under 300 ms.</t>
        </is>
      </c>
      <c r="E98" s="14" t="inlineStr">
        <is>
          <t>S</t>
        </is>
      </c>
      <c r="F98" s="14" t="inlineStr">
        <is>
          <t>6</t>
        </is>
      </c>
      <c r="G98" s="14" t="inlineStr">
        <is>
          <t>9.4</t>
        </is>
      </c>
      <c r="H98" s="13" t="inlineStr">
        <is>
          <t>A simple load script (e.g. 20 concurrent users for 1 min) meets p95 &lt; 300 ms.</t>
        </is>
      </c>
      <c r="I98" s="14" t="inlineStr">
        <is>
          <t>T (load script)</t>
        </is>
      </c>
      <c r="J98" s="13" t="inlineStr">
        <is>
          <t>TC-46</t>
        </is>
      </c>
      <c r="K98" s="13" t="inlineStr">
        <is>
          <t>T-23</t>
        </is>
      </c>
      <c r="L98" s="13" t="inlineStr">
        <is>
          <t>pre-release</t>
        </is>
      </c>
      <c r="M98" s="15" t="inlineStr">
        <is>
          <t>Proposed</t>
        </is>
      </c>
      <c r="N98" s="16" t="inlineStr"/>
      <c r="O98" s="16" t="inlineStr"/>
      <c r="P98" s="4">
        <f>","&amp;SUBSTITUTE(F98," ","")&amp;","</f>
        <v/>
      </c>
    </row>
    <row r="99" ht="33" customHeight="1">
      <c r="A99" s="17" t="inlineStr">
        <is>
          <t>NFR-PERF-02</t>
        </is>
      </c>
      <c r="B99" s="9" t="inlineStr">
        <is>
          <t>NFR</t>
        </is>
      </c>
      <c r="C99" s="9" t="inlineStr">
        <is>
          <t>PERF</t>
        </is>
      </c>
      <c r="D99" s="17" t="inlineStr">
        <is>
          <t>The indexes listed in §7 shall exist, so that request lists, history and pool lookups do not need full table scans.</t>
        </is>
      </c>
      <c r="E99" s="9" t="inlineStr">
        <is>
          <t>M</t>
        </is>
      </c>
      <c r="F99" s="9" t="inlineStr">
        <is>
          <t>6</t>
        </is>
      </c>
      <c r="G99" s="9" t="inlineStr">
        <is>
          <t>9.4</t>
        </is>
      </c>
      <c r="H99" s="17" t="inlineStr">
        <is>
          <t>Migration inspection and EXPLAIN on key queries.</t>
        </is>
      </c>
      <c r="I99" s="9" t="inlineStr">
        <is>
          <t>I</t>
        </is>
      </c>
      <c r="J99" s="17" t="inlineStr">
        <is>
          <t>TC-41</t>
        </is>
      </c>
      <c r="K99" s="17" t="inlineStr">
        <is>
          <t>T-06</t>
        </is>
      </c>
      <c r="L99" s="17" t="inlineStr">
        <is>
          <t>feature/db-schema</t>
        </is>
      </c>
      <c r="M99" s="15" t="inlineStr">
        <is>
          <t>Implemented</t>
        </is>
      </c>
      <c r="N99" s="16" t="inlineStr">
        <is>
          <t>Indexes in init + integrity migrations (ERD §5) — feature/db-schema</t>
        </is>
      </c>
      <c r="O99" s="16" t="inlineStr"/>
      <c r="P99" s="4">
        <f>","&amp;SUBSTITUTE(F99," ","")&amp;","</f>
        <v/>
      </c>
    </row>
    <row r="100" ht="33" customHeight="1">
      <c r="A100" s="13" t="inlineStr">
        <is>
          <t>NFR-PERF-03</t>
        </is>
      </c>
      <c r="B100" s="14" t="inlineStr">
        <is>
          <t>NFR</t>
        </is>
      </c>
      <c r="C100" s="14" t="inlineStr">
        <is>
          <t>PERF</t>
        </is>
      </c>
      <c r="D100" s="13" t="inlineStr">
        <is>
          <t>The client polling interval shall be 3–5 s, and polling shall stop when a ride reaches a terminal state or the tab is hidden.</t>
        </is>
      </c>
      <c r="E100" s="14" t="inlineStr">
        <is>
          <t>S</t>
        </is>
      </c>
      <c r="F100" s="14" t="inlineStr">
        <is>
          <t>3</t>
        </is>
      </c>
      <c r="G100" s="14" t="inlineStr">
        <is>
          <t>9.4</t>
        </is>
      </c>
      <c r="H100" s="13" t="inlineStr">
        <is>
          <t>Inspection of network activity.</t>
        </is>
      </c>
      <c r="I100" s="14" t="inlineStr">
        <is>
          <t>I</t>
        </is>
      </c>
      <c r="J100" s="13" t="inlineStr">
        <is>
          <t>TC-41</t>
        </is>
      </c>
      <c r="K100" s="13" t="inlineStr">
        <is>
          <t>T-20</t>
        </is>
      </c>
      <c r="L100" s="13" t="inlineStr">
        <is>
          <t>feature/passenger-ui</t>
        </is>
      </c>
      <c r="M100" s="15" t="inlineStr">
        <is>
          <t>Proposed</t>
        </is>
      </c>
      <c r="N100" s="16" t="inlineStr"/>
      <c r="O100" s="16" t="inlineStr"/>
      <c r="P100" s="4">
        <f>","&amp;SUBSTITUTE(F100," ","")&amp;","</f>
        <v/>
      </c>
    </row>
    <row r="101" ht="33" customHeight="1">
      <c r="A101" s="17" t="inlineStr">
        <is>
          <t>NFR-USA-01</t>
        </is>
      </c>
      <c r="B101" s="9" t="inlineStr">
        <is>
          <t>NFR</t>
        </is>
      </c>
      <c r="C101" s="9" t="inlineStr">
        <is>
          <t>USA</t>
        </is>
      </c>
      <c r="D101" s="17" t="inlineStr">
        <is>
          <t>Every data-driven view shall have explicit loading, empty and error states, and an error state shall offer a retry.</t>
        </is>
      </c>
      <c r="E101" s="9" t="inlineStr">
        <is>
          <t>M</t>
        </is>
      </c>
      <c r="F101" s="9" t="inlineStr">
        <is>
          <t>6</t>
        </is>
      </c>
      <c r="G101" s="9" t="inlineStr">
        <is>
          <t>9.5</t>
        </is>
      </c>
      <c r="H101" s="17" t="inlineStr">
        <is>
          <t>Review of every screen in §8.1.</t>
        </is>
      </c>
      <c r="I101" s="9" t="inlineStr">
        <is>
          <t>D, I</t>
        </is>
      </c>
      <c r="J101" s="17" t="inlineStr">
        <is>
          <t>TC-41</t>
        </is>
      </c>
      <c r="K101" s="17" t="inlineStr">
        <is>
          <t>T-19</t>
        </is>
      </c>
      <c r="L101" s="17" t="inlineStr">
        <is>
          <t>feature/passenger-ui</t>
        </is>
      </c>
      <c r="M101" s="15" t="inlineStr">
        <is>
          <t>Proposed</t>
        </is>
      </c>
      <c r="N101" s="16" t="inlineStr"/>
      <c r="O101" s="16" t="inlineStr"/>
      <c r="P101" s="4">
        <f>","&amp;SUBSTITUTE(F101," ","")&amp;","</f>
        <v/>
      </c>
    </row>
    <row r="102" ht="33" customHeight="1">
      <c r="A102" s="13" t="inlineStr">
        <is>
          <t>NFR-USA-02</t>
        </is>
      </c>
      <c r="B102" s="14" t="inlineStr">
        <is>
          <t>NFR</t>
        </is>
      </c>
      <c r="C102" s="14" t="inlineStr">
        <is>
          <t>USA</t>
        </is>
      </c>
      <c r="D102" s="13" t="inlineStr">
        <is>
          <t>Statuses shall be shown with human-readable labels (e.g. STARTED = "On the way") and a progress stepper or timeline.</t>
        </is>
      </c>
      <c r="E102" s="14" t="inlineStr">
        <is>
          <t>M</t>
        </is>
      </c>
      <c r="F102" s="14" t="inlineStr">
        <is>
          <t>3, 6</t>
        </is>
      </c>
      <c r="G102" s="14" t="inlineStr">
        <is>
          <t>9.5</t>
        </is>
      </c>
      <c r="H102" s="13" t="inlineStr">
        <is>
          <t>Visual check.</t>
        </is>
      </c>
      <c r="I102" s="14" t="inlineStr">
        <is>
          <t>D, I</t>
        </is>
      </c>
      <c r="J102" s="13" t="inlineStr">
        <is>
          <t>TC-41</t>
        </is>
      </c>
      <c r="K102" s="13" t="inlineStr">
        <is>
          <t>T-20</t>
        </is>
      </c>
      <c r="L102" s="13" t="inlineStr">
        <is>
          <t>feature/passenger-ui</t>
        </is>
      </c>
      <c r="M102" s="15" t="inlineStr">
        <is>
          <t>Proposed</t>
        </is>
      </c>
      <c r="N102" s="16" t="inlineStr"/>
      <c r="O102" s="16" t="inlineStr"/>
      <c r="P102" s="4">
        <f>","&amp;SUBSTITUTE(F102," ","")&amp;","</f>
        <v/>
      </c>
    </row>
    <row r="103" ht="48" customHeight="1">
      <c r="A103" s="17" t="inlineStr">
        <is>
          <t>NFR-USA-03</t>
        </is>
      </c>
      <c r="B103" s="9" t="inlineStr">
        <is>
          <t>NFR</t>
        </is>
      </c>
      <c r="C103" s="9" t="inlineStr">
        <is>
          <t>USA</t>
        </is>
      </c>
      <c r="D103" s="17" t="inlineStr">
        <is>
          <t>Action buttons shall appear only when the transition is valid for the current state and role. The server remains authoritative (BR-06).</t>
        </is>
      </c>
      <c r="E103" s="9" t="inlineStr">
        <is>
          <t>M</t>
        </is>
      </c>
      <c r="F103" s="9" t="inlineStr">
        <is>
          <t>3</t>
        </is>
      </c>
      <c r="G103" s="9" t="inlineStr">
        <is>
          <t>9.5</t>
        </is>
      </c>
      <c r="H103" s="17" t="inlineStr">
        <is>
          <t>A driver in OPEN sees "Arrived" but not "Start".</t>
        </is>
      </c>
      <c r="I103" s="9" t="inlineStr">
        <is>
          <t>D, I</t>
        </is>
      </c>
      <c r="J103" s="17" t="inlineStr">
        <is>
          <t>TC-41</t>
        </is>
      </c>
      <c r="K103" s="17" t="inlineStr">
        <is>
          <t>T-20, T-22</t>
        </is>
      </c>
      <c r="L103" s="17" t="inlineStr">
        <is>
          <t>feature/passenger-ui, feature/driver-ui</t>
        </is>
      </c>
      <c r="M103" s="15" t="inlineStr">
        <is>
          <t>Proposed</t>
        </is>
      </c>
      <c r="N103" s="16" t="inlineStr"/>
      <c r="O103" s="16" t="inlineStr"/>
      <c r="P103" s="4">
        <f>","&amp;SUBSTITUTE(F103," ","")&amp;","</f>
        <v/>
      </c>
    </row>
    <row r="104" ht="33" customHeight="1">
      <c r="A104" s="13" t="inlineStr">
        <is>
          <t>NFR-USA-04</t>
        </is>
      </c>
      <c r="B104" s="14" t="inlineStr">
        <is>
          <t>NFR</t>
        </is>
      </c>
      <c r="C104" s="14" t="inlineStr">
        <is>
          <t>USA</t>
        </is>
      </c>
      <c r="D104" s="13" t="inlineStr">
        <is>
          <t>Money shall be displayed as ৳ with exactly two decimals. The fare breakdown shall be one tap or click away.</t>
        </is>
      </c>
      <c r="E104" s="14" t="inlineStr">
        <is>
          <t>M</t>
        </is>
      </c>
      <c r="F104" s="14" t="inlineStr">
        <is>
          <t>5</t>
        </is>
      </c>
      <c r="G104" s="14" t="inlineStr">
        <is>
          <t>9.5</t>
        </is>
      </c>
      <c r="H104" s="13" t="inlineStr">
        <is>
          <t>"৳66.00" is shown for 6600 paisa.</t>
        </is>
      </c>
      <c r="I104" s="14" t="inlineStr">
        <is>
          <t>D, I</t>
        </is>
      </c>
      <c r="J104" s="13" t="inlineStr">
        <is>
          <t>TC-41</t>
        </is>
      </c>
      <c r="K104" s="13" t="inlineStr">
        <is>
          <t>T-20</t>
        </is>
      </c>
      <c r="L104" s="13" t="inlineStr">
        <is>
          <t>feature/passenger-ui</t>
        </is>
      </c>
      <c r="M104" s="15" t="inlineStr">
        <is>
          <t>Proposed</t>
        </is>
      </c>
      <c r="N104" s="16" t="inlineStr"/>
      <c r="O104" s="16" t="inlineStr"/>
      <c r="P104" s="4">
        <f>","&amp;SUBSTITUTE(F104," ","")&amp;","</f>
        <v/>
      </c>
    </row>
    <row r="105" ht="33" customHeight="1">
      <c r="A105" s="17" t="inlineStr">
        <is>
          <t>NFR-USA-05</t>
        </is>
      </c>
      <c r="B105" s="9" t="inlineStr">
        <is>
          <t>NFR</t>
        </is>
      </c>
      <c r="C105" s="9" t="inlineStr">
        <is>
          <t>USA</t>
        </is>
      </c>
      <c r="D105" s="17" t="inlineStr">
        <is>
          <t>The UI shall be usable on a 360 px-wide mobile viewport and via keyboard, with labelled form controls and sufficient contrast.</t>
        </is>
      </c>
      <c r="E105" s="9" t="inlineStr">
        <is>
          <t>S</t>
        </is>
      </c>
      <c r="F105" s="9" t="inlineStr">
        <is>
          <t>6</t>
        </is>
      </c>
      <c r="G105" s="9" t="inlineStr">
        <is>
          <t>9.5</t>
        </is>
      </c>
      <c r="H105" s="17" t="inlineStr">
        <is>
          <t>Manual check at mobile width; lint or axe shows no critical issues.</t>
        </is>
      </c>
      <c r="I105" s="9" t="inlineStr">
        <is>
          <t>D, I</t>
        </is>
      </c>
      <c r="J105" s="17" t="inlineStr">
        <is>
          <t>TC-41</t>
        </is>
      </c>
      <c r="K105" s="17" t="inlineStr">
        <is>
          <t>T-19</t>
        </is>
      </c>
      <c r="L105" s="17" t="inlineStr">
        <is>
          <t>feature/passenger-ui</t>
        </is>
      </c>
      <c r="M105" s="15" t="inlineStr">
        <is>
          <t>Proposed</t>
        </is>
      </c>
      <c r="N105" s="16" t="inlineStr"/>
      <c r="O105" s="16" t="inlineStr"/>
      <c r="P105" s="4">
        <f>","&amp;SUBSTITUTE(F105," ","")&amp;","</f>
        <v/>
      </c>
    </row>
    <row r="106" ht="33" customHeight="1">
      <c r="A106" s="13" t="inlineStr">
        <is>
          <t>NFR-USA-06</t>
        </is>
      </c>
      <c r="B106" s="14" t="inlineStr">
        <is>
          <t>NFR</t>
        </is>
      </c>
      <c r="C106" s="14" t="inlineStr">
        <is>
          <t>USA</t>
        </is>
      </c>
      <c r="D106" s="13" t="inlineStr">
        <is>
          <t>Destructive actions (cancel ride, cancel pool) shall ask for confirmation and state any fee.</t>
        </is>
      </c>
      <c r="E106" s="14" t="inlineStr">
        <is>
          <t>M</t>
        </is>
      </c>
      <c r="F106" s="14" t="inlineStr">
        <is>
          <t>3</t>
        </is>
      </c>
      <c r="G106" s="14" t="inlineStr">
        <is>
          <t>9.5</t>
        </is>
      </c>
      <c r="H106" s="13" t="inlineStr">
        <is>
          <t>Visual check.</t>
        </is>
      </c>
      <c r="I106" s="14" t="inlineStr">
        <is>
          <t>D, I</t>
        </is>
      </c>
      <c r="J106" s="13" t="inlineStr">
        <is>
          <t>TC-41</t>
        </is>
      </c>
      <c r="K106" s="13" t="inlineStr">
        <is>
          <t>T-20, T-22</t>
        </is>
      </c>
      <c r="L106" s="13" t="inlineStr">
        <is>
          <t>feature/passenger-ui, feature/driver-ui</t>
        </is>
      </c>
      <c r="M106" s="15" t="inlineStr">
        <is>
          <t>Proposed</t>
        </is>
      </c>
      <c r="N106" s="16" t="inlineStr"/>
      <c r="O106" s="16" t="inlineStr"/>
      <c r="P106" s="4">
        <f>","&amp;SUBSTITUTE(F106," ","")&amp;","</f>
        <v/>
      </c>
    </row>
    <row r="107" ht="63" customHeight="1">
      <c r="A107" s="17" t="inlineStr">
        <is>
          <t>NFR-POR-01</t>
        </is>
      </c>
      <c r="B107" s="9" t="inlineStr">
        <is>
          <t>NFR</t>
        </is>
      </c>
      <c r="C107" s="9" t="inlineStr">
        <is>
          <t>POR</t>
        </is>
      </c>
      <c r="D107" s="17" t="inlineStr">
        <is>
          <t>docker compose up, run on a clean machine with only Docker installed, shall start the database, API and web app, apply migrations and load seed data, with no manual steps beyond copying .env.example to .env.</t>
        </is>
      </c>
      <c r="E107" s="9" t="inlineStr">
        <is>
          <t>M</t>
        </is>
      </c>
      <c r="F107" s="9" t="inlineStr">
        <is>
          <t>6</t>
        </is>
      </c>
      <c r="G107" s="9" t="inlineStr">
        <is>
          <t>9.6</t>
        </is>
      </c>
      <c r="H107" s="17" t="inlineStr">
        <is>
          <t>Tested from a fresh clone. The reference personas can sign in.</t>
        </is>
      </c>
      <c r="I107" s="9" t="inlineStr">
        <is>
          <t>D</t>
        </is>
      </c>
      <c r="J107" s="17" t="inlineStr">
        <is>
          <t>TC-36</t>
        </is>
      </c>
      <c r="K107" s="17" t="inlineStr">
        <is>
          <t>T-05</t>
        </is>
      </c>
      <c r="L107" s="17" t="inlineStr">
        <is>
          <t>feature/project-setup</t>
        </is>
      </c>
      <c r="M107" s="15" t="inlineStr">
        <is>
          <t>Implemented</t>
        </is>
      </c>
      <c r="N107" s="16" t="inlineStr">
        <is>
          <t>Fresh volume: migrate deploy → seed → API healthy; web healthy — feature/db-schema</t>
        </is>
      </c>
      <c r="O107" s="16" t="inlineStr"/>
      <c r="P107" s="4">
        <f>","&amp;SUBSTITUTE(F107," ","")&amp;","</f>
        <v/>
      </c>
    </row>
    <row r="108" ht="33" customHeight="1">
      <c r="A108" s="13" t="inlineStr">
        <is>
          <t>NFR-POR-02</t>
        </is>
      </c>
      <c r="B108" s="14" t="inlineStr">
        <is>
          <t>NFR</t>
        </is>
      </c>
      <c r="C108" s="14" t="inlineStr">
        <is>
          <t>POR</t>
        </is>
      </c>
      <c r="D108" s="13" t="inlineStr">
        <is>
          <t>All configuration (DB URL, secrets, rates, CORS origin, ports) shall be via environment variables with documented defaults.</t>
        </is>
      </c>
      <c r="E108" s="14" t="inlineStr">
        <is>
          <t>M</t>
        </is>
      </c>
      <c r="F108" s="14" t="inlineStr">
        <is>
          <t>6</t>
        </is>
      </c>
      <c r="G108" s="14" t="inlineStr">
        <is>
          <t>9.6</t>
        </is>
      </c>
      <c r="H108" s="13" t="inlineStr">
        <is>
          <t>.env.example lists every variable.</t>
        </is>
      </c>
      <c r="I108" s="14" t="inlineStr">
        <is>
          <t>I</t>
        </is>
      </c>
      <c r="J108" s="13" t="inlineStr"/>
      <c r="K108" s="13" t="inlineStr">
        <is>
          <t>T-05</t>
        </is>
      </c>
      <c r="L108" s="13" t="inlineStr">
        <is>
          <t>feature/project-setup</t>
        </is>
      </c>
      <c r="M108" s="15" t="inlineStr">
        <is>
          <t>Implemented</t>
        </is>
      </c>
      <c r="N108" s="16" t="inlineStr">
        <is>
          <t>config/env.ts, config/rules.ts, .env.example — commits 9ddba2e, 51da796, 7d59b8d</t>
        </is>
      </c>
      <c r="O108" s="16" t="inlineStr"/>
      <c r="P108" s="4">
        <f>","&amp;SUBSTITUTE(F108," ","")&amp;","</f>
        <v/>
      </c>
    </row>
    <row r="109" ht="33" customHeight="1">
      <c r="A109" s="17" t="inlineStr">
        <is>
          <t>NFR-POR-03</t>
        </is>
      </c>
      <c r="B109" s="9" t="inlineStr">
        <is>
          <t>NFR</t>
        </is>
      </c>
      <c r="C109" s="9" t="inlineStr">
        <is>
          <t>POR</t>
        </is>
      </c>
      <c r="D109" s="17" t="inlineStr">
        <is>
          <t>Schema changes shall be made only through versioned, re-runnable migrations. Seeding shall be idempotent.</t>
        </is>
      </c>
      <c r="E109" s="9" t="inlineStr">
        <is>
          <t>M</t>
        </is>
      </c>
      <c r="F109" s="9" t="inlineStr">
        <is>
          <t>6</t>
        </is>
      </c>
      <c r="G109" s="9" t="inlineStr">
        <is>
          <t>9.6</t>
        </is>
      </c>
      <c r="H109" s="17" t="inlineStr">
        <is>
          <t>Running up twice causes no errors and creates no duplicate personas.</t>
        </is>
      </c>
      <c r="I109" s="9" t="inlineStr">
        <is>
          <t>D</t>
        </is>
      </c>
      <c r="J109" s="17" t="inlineStr">
        <is>
          <t>TC-37</t>
        </is>
      </c>
      <c r="K109" s="17" t="inlineStr">
        <is>
          <t>T-06, T-07</t>
        </is>
      </c>
      <c r="L109" s="17" t="inlineStr">
        <is>
          <t>feature/db-schema</t>
        </is>
      </c>
      <c r="M109" s="15" t="inlineStr">
        <is>
          <t>Implemented</t>
        </is>
      </c>
      <c r="N109" s="16" t="inlineStr">
        <is>
          <t>Versioned migrations; idempotent seed (test/db/seed.test.ts) — feature/db-schema</t>
        </is>
      </c>
      <c r="O109" s="16" t="inlineStr"/>
      <c r="P109" s="4">
        <f>","&amp;SUBSTITUTE(F109," ","")&amp;","</f>
        <v/>
      </c>
    </row>
    <row r="110" ht="48" customHeight="1">
      <c r="A110" s="13" t="inlineStr">
        <is>
          <t>NFR-POR-04</t>
        </is>
      </c>
      <c r="B110" s="14" t="inlineStr">
        <is>
          <t>NFR</t>
        </is>
      </c>
      <c r="C110" s="14" t="inlineStr">
        <is>
          <t>POR</t>
        </is>
      </c>
      <c r="D110" s="13" t="inlineStr">
        <is>
          <t>The system shall be deployed publicly on free tiers, or, if that is not possible, a reproducible Docker deployment shall be documented along with the constraint.</t>
        </is>
      </c>
      <c r="E110" s="14" t="inlineStr">
        <is>
          <t>S</t>
        </is>
      </c>
      <c r="F110" s="14" t="inlineStr">
        <is>
          <t>6</t>
        </is>
      </c>
      <c r="G110" s="14" t="inlineStr">
        <is>
          <t>9.6</t>
        </is>
      </c>
      <c r="H110" s="13" t="inlineStr">
        <is>
          <t>A URL is in the README, or a documented fallback.</t>
        </is>
      </c>
      <c r="I110" s="14" t="inlineStr">
        <is>
          <t>D</t>
        </is>
      </c>
      <c r="J110" s="13" t="inlineStr"/>
      <c r="K110" s="13" t="inlineStr">
        <is>
          <t>T-25</t>
        </is>
      </c>
      <c r="L110" s="13" t="inlineStr">
        <is>
          <t>pre-release</t>
        </is>
      </c>
      <c r="M110" s="15" t="inlineStr">
        <is>
          <t>Proposed</t>
        </is>
      </c>
      <c r="N110" s="16" t="inlineStr"/>
      <c r="O110" s="16" t="inlineStr"/>
      <c r="P110" s="4">
        <f>","&amp;SUBSTITUTE(F110," ","")&amp;","</f>
        <v/>
      </c>
    </row>
    <row r="111" ht="48" customHeight="1">
      <c r="A111" s="17" t="inlineStr">
        <is>
          <t>NFR-OBS-01</t>
        </is>
      </c>
      <c r="B111" s="9" t="inlineStr">
        <is>
          <t>NFR</t>
        </is>
      </c>
      <c r="C111" s="9" t="inlineStr">
        <is>
          <t>OBS</t>
        </is>
      </c>
      <c r="D111" s="17" t="inlineStr">
        <is>
          <t>The API shall write structured (JSON) logs with timestamp, level, requestId, user id (when present), method, route, status code and latency.</t>
        </is>
      </c>
      <c r="E111" s="9" t="inlineStr">
        <is>
          <t>M</t>
        </is>
      </c>
      <c r="F111" s="9" t="inlineStr">
        <is>
          <t>6</t>
        </is>
      </c>
      <c r="G111" s="9" t="inlineStr">
        <is>
          <t>9.7</t>
        </is>
      </c>
      <c r="H111" s="17" t="inlineStr">
        <is>
          <t>Log inspection.</t>
        </is>
      </c>
      <c r="I111" s="9" t="inlineStr">
        <is>
          <t>I</t>
        </is>
      </c>
      <c r="J111" s="17" t="inlineStr">
        <is>
          <t>TC-08</t>
        </is>
      </c>
      <c r="K111" s="17" t="inlineStr">
        <is>
          <t>T-04</t>
        </is>
      </c>
      <c r="L111" s="17" t="inlineStr">
        <is>
          <t>feature/project-setup</t>
        </is>
      </c>
      <c r="M111" s="15" t="inlineStr">
        <is>
          <t>Implemented</t>
        </is>
      </c>
      <c r="N111" s="16" t="inlineStr">
        <is>
          <t>logger.ts, middleware/http-logger.ts — commits 51da796, 28caad4</t>
        </is>
      </c>
      <c r="O111" s="16" t="inlineStr"/>
      <c r="P111" s="4">
        <f>","&amp;SUBSTITUTE(F111," ","")&amp;","</f>
        <v/>
      </c>
    </row>
    <row r="112" ht="33" customHeight="1">
      <c r="A112" s="13" t="inlineStr">
        <is>
          <t>NFR-OBS-02</t>
        </is>
      </c>
      <c r="B112" s="14" t="inlineStr">
        <is>
          <t>NFR</t>
        </is>
      </c>
      <c r="C112" s="14" t="inlineStr">
        <is>
          <t>OBS</t>
        </is>
      </c>
      <c r="D112" s="13" t="inlineStr">
        <is>
          <t>Every successful state transition shall be logged at INFO and every rejected one at WARN, including the error code.</t>
        </is>
      </c>
      <c r="E112" s="14" t="inlineStr">
        <is>
          <t>S</t>
        </is>
      </c>
      <c r="F112" s="14" t="inlineStr">
        <is>
          <t>6</t>
        </is>
      </c>
      <c r="G112" s="14" t="inlineStr">
        <is>
          <t>9.7</t>
        </is>
      </c>
      <c r="H112" s="13" t="inlineStr">
        <is>
          <t>Log inspection during tests.</t>
        </is>
      </c>
      <c r="I112" s="14" t="inlineStr">
        <is>
          <t>I</t>
        </is>
      </c>
      <c r="J112" s="13" t="inlineStr"/>
      <c r="K112" s="13" t="inlineStr">
        <is>
          <t>T-04</t>
        </is>
      </c>
      <c r="L112" s="13" t="inlineStr">
        <is>
          <t>feature/project-setup</t>
        </is>
      </c>
      <c r="M112" s="15" t="inlineStr">
        <is>
          <t>Implemented</t>
        </is>
      </c>
      <c r="N112" s="16" t="inlineStr">
        <is>
          <t>INFO ride/pool/driver.transition in the audit writer; WARN command.rejected — feature/ride-request</t>
        </is>
      </c>
      <c r="O112" s="16" t="inlineStr"/>
      <c r="P112" s="4">
        <f>","&amp;SUBSTITUTE(F112," ","")&amp;","</f>
        <v/>
      </c>
    </row>
    <row r="113" ht="33" customHeight="1">
      <c r="A113" s="17" t="inlineStr">
        <is>
          <t>NFR-OBS-03</t>
        </is>
      </c>
      <c r="B113" s="9" t="inlineStr">
        <is>
          <t>NFR</t>
        </is>
      </c>
      <c r="C113" s="9" t="inlineStr">
        <is>
          <t>OBS</t>
        </is>
      </c>
      <c r="D113" s="17" t="inlineStr">
        <is>
          <t>Logs shall never contain passwords, tokens or full session cookies.</t>
        </is>
      </c>
      <c r="E113" s="9" t="inlineStr">
        <is>
          <t>M</t>
        </is>
      </c>
      <c r="F113" s="9" t="inlineStr">
        <is>
          <t>6</t>
        </is>
      </c>
      <c r="G113" s="9" t="inlineStr">
        <is>
          <t>9.7</t>
        </is>
      </c>
      <c r="H113" s="17" t="inlineStr">
        <is>
          <t>Inspection.</t>
        </is>
      </c>
      <c r="I113" s="9" t="inlineStr">
        <is>
          <t>I</t>
        </is>
      </c>
      <c r="J113" s="17" t="inlineStr"/>
      <c r="K113" s="17" t="inlineStr">
        <is>
          <t>T-04</t>
        </is>
      </c>
      <c r="L113" s="17" t="inlineStr">
        <is>
          <t>feature/project-setup</t>
        </is>
      </c>
      <c r="M113" s="15" t="inlineStr">
        <is>
          <t>Implemented</t>
        </is>
      </c>
      <c r="N113" s="16" t="inlineStr">
        <is>
          <t>pino redaction; headers not logged — commit 28caad4</t>
        </is>
      </c>
      <c r="O113" s="16" t="inlineStr"/>
      <c r="P113" s="4">
        <f>","&amp;SUBSTITUTE(F113," ","")&amp;","</f>
        <v/>
      </c>
    </row>
    <row r="114" ht="48" customHeight="1">
      <c r="A114" s="13" t="inlineStr">
        <is>
          <t>NFR-MNT-01</t>
        </is>
      </c>
      <c r="B114" s="14" t="inlineStr">
        <is>
          <t>NFR</t>
        </is>
      </c>
      <c r="C114" s="14" t="inlineStr">
        <is>
          <t>MNT</t>
        </is>
      </c>
      <c r="D114" s="13" t="inlineStr">
        <is>
          <t>Business rules (matching, capacity, transitions, fares, cancellation) shall live in a domain or service layer, not in route handlers or UI components.</t>
        </is>
      </c>
      <c r="E114" s="14" t="inlineStr">
        <is>
          <t>M</t>
        </is>
      </c>
      <c r="F114" s="14" t="inlineStr">
        <is>
          <t>6</t>
        </is>
      </c>
      <c r="G114" s="14" t="inlineStr">
        <is>
          <t>9.8</t>
        </is>
      </c>
      <c r="H114" s="13" t="inlineStr">
        <is>
          <t>Code review: controllers contain no rule logic.</t>
        </is>
      </c>
      <c r="I114" s="14" t="inlineStr">
        <is>
          <t>I</t>
        </is>
      </c>
      <c r="J114" s="13" t="inlineStr"/>
      <c r="K114" s="13" t="inlineStr">
        <is>
          <t>T-03</t>
        </is>
      </c>
      <c r="L114" s="13" t="inlineStr">
        <is>
          <t>feature/project-setup</t>
        </is>
      </c>
      <c r="M114" s="15" t="inlineStr">
        <is>
          <t>In Progress</t>
        </is>
      </c>
      <c r="N114" s="16" t="inlineStr">
        <is>
          <t>Module template documented (CODING_CONVENTIONS §4); health module follows it</t>
        </is>
      </c>
      <c r="O114" s="16" t="inlineStr"/>
      <c r="P114" s="4">
        <f>","&amp;SUBSTITUTE(F114," ","")&amp;","</f>
        <v/>
      </c>
    </row>
    <row r="115" ht="33" customHeight="1">
      <c r="A115" s="17" t="inlineStr">
        <is>
          <t>NFR-MNT-02</t>
        </is>
      </c>
      <c r="B115" s="9" t="inlineStr">
        <is>
          <t>NFR</t>
        </is>
      </c>
      <c r="C115" s="9" t="inlineStr">
        <is>
          <t>MNT</t>
        </is>
      </c>
      <c r="D115" s="17" t="inlineStr">
        <is>
          <t>Fare calculation and transition validation shall be pure functions with unit tests.</t>
        </is>
      </c>
      <c r="E115" s="9" t="inlineStr">
        <is>
          <t>M</t>
        </is>
      </c>
      <c r="F115" s="9" t="inlineStr">
        <is>
          <t>5, 12</t>
        </is>
      </c>
      <c r="G115" s="9" t="inlineStr">
        <is>
          <t>9.8</t>
        </is>
      </c>
      <c r="H115" s="17" t="inlineStr">
        <is>
          <t>They are unit-tested with no DB.</t>
        </is>
      </c>
      <c r="I115" s="9" t="inlineStr">
        <is>
          <t>T</t>
        </is>
      </c>
      <c r="J115" s="17" t="inlineStr">
        <is>
          <t>TC-08</t>
        </is>
      </c>
      <c r="K115" s="17" t="inlineStr">
        <is>
          <t>T-10, T-12</t>
        </is>
      </c>
      <c r="L115" s="17" t="inlineStr">
        <is>
          <t>feature/zones-fares, feature/ride-request</t>
        </is>
      </c>
      <c r="M115" s="15" t="inlineStr">
        <is>
          <t>Implemented</t>
        </is>
      </c>
      <c r="N115" s="16" t="inlineStr">
        <is>
          <t>Pure fare (feature/zones-fares) and transition checks with unit tests (TC-08) — feature/ride-request</t>
        </is>
      </c>
      <c r="O115" s="16" t="inlineStr"/>
      <c r="P115" s="4">
        <f>","&amp;SUBSTITUTE(F115," ","")&amp;","</f>
        <v/>
      </c>
    </row>
    <row r="116" ht="48" customHeight="1">
      <c r="A116" s="13" t="inlineStr">
        <is>
          <t>NFR-MNT-03</t>
        </is>
      </c>
      <c r="B116" s="14" t="inlineStr">
        <is>
          <t>NFR</t>
        </is>
      </c>
      <c r="C116" s="14" t="inlineStr">
        <is>
          <t>MNT</t>
        </is>
      </c>
      <c r="D116" s="13" t="inlineStr">
        <is>
          <t>The codebase shall use TypeScript (or a documented alternative), a linter and a formatter, and follow a documented project structure.</t>
        </is>
      </c>
      <c r="E116" s="14" t="inlineStr">
        <is>
          <t>S</t>
        </is>
      </c>
      <c r="F116" s="14" t="inlineStr">
        <is>
          <t>6</t>
        </is>
      </c>
      <c r="G116" s="14" t="inlineStr">
        <is>
          <t>9.8</t>
        </is>
      </c>
      <c r="H116" s="13" t="inlineStr">
        <is>
          <t>CI or a local lint run passes.</t>
        </is>
      </c>
      <c r="I116" s="14" t="inlineStr">
        <is>
          <t>I</t>
        </is>
      </c>
      <c r="J116" s="13" t="inlineStr"/>
      <c r="K116" s="13" t="inlineStr">
        <is>
          <t>T-03</t>
        </is>
      </c>
      <c r="L116" s="13" t="inlineStr">
        <is>
          <t>feature/project-setup</t>
        </is>
      </c>
      <c r="M116" s="15" t="inlineStr">
        <is>
          <t>Implemented</t>
        </is>
      </c>
      <c r="N116" s="16" t="inlineStr">
        <is>
          <t>TypeScript strict, ESLint (simplicity rules), Prettier — commit f221565</t>
        </is>
      </c>
      <c r="O116" s="16" t="inlineStr"/>
      <c r="P116" s="4">
        <f>","&amp;SUBSTITUTE(F116," ","")&amp;","</f>
        <v/>
      </c>
    </row>
    <row r="117" ht="33" customHeight="1">
      <c r="A117" s="17" t="inlineStr">
        <is>
          <t>NFR-MNT-04</t>
        </is>
      </c>
      <c r="B117" s="9" t="inlineStr">
        <is>
          <t>NFR</t>
        </is>
      </c>
      <c r="C117" s="9" t="inlineStr">
        <is>
          <t>MNT</t>
        </is>
      </c>
      <c r="D117" s="17" t="inlineStr">
        <is>
          <t>Automated tests shall run with one documented command, locally and in Docker.</t>
        </is>
      </c>
      <c r="E117" s="9" t="inlineStr">
        <is>
          <t>M</t>
        </is>
      </c>
      <c r="F117" s="9" t="inlineStr">
        <is>
          <t>12</t>
        </is>
      </c>
      <c r="G117" s="9" t="inlineStr">
        <is>
          <t>9.8</t>
        </is>
      </c>
      <c r="H117" s="17" t="inlineStr">
        <is>
          <t>The README states the command, and it passes.</t>
        </is>
      </c>
      <c r="I117" s="9" t="inlineStr">
        <is>
          <t>D</t>
        </is>
      </c>
      <c r="J117" s="17" t="inlineStr"/>
      <c r="K117" s="17" t="inlineStr">
        <is>
          <t>T-23</t>
        </is>
      </c>
      <c r="L117" s="17" t="inlineStr">
        <is>
          <t>pre-release</t>
        </is>
      </c>
      <c r="M117" s="15" t="inlineStr">
        <is>
          <t>In Progress</t>
        </is>
      </c>
      <c r="N117" s="16" t="inlineStr">
        <is>
          <t>npm test at root and in Docker (docker compose run --rm api npm test)</t>
        </is>
      </c>
      <c r="O117" s="16" t="inlineStr"/>
      <c r="P117" s="4">
        <f>","&amp;SUBSTITUTE(F117," ","")&amp;","</f>
        <v/>
      </c>
    </row>
    <row r="118" ht="33" customHeight="1">
      <c r="A118" s="13" t="inlineStr">
        <is>
          <t>DC-01</t>
        </is>
      </c>
      <c r="B118" s="14" t="inlineStr">
        <is>
          <t>DC</t>
        </is>
      </c>
      <c r="C118" s="14" t="inlineStr">
        <is>
          <t>CONSTRAINT</t>
        </is>
      </c>
      <c r="D118" s="13" t="inlineStr">
        <is>
          <t>The frontend shall be React or Next.js. Next.js App Router is recommended.</t>
        </is>
      </c>
      <c r="E118" s="14" t="inlineStr">
        <is>
          <t>M</t>
        </is>
      </c>
      <c r="F118" s="14" t="inlineStr">
        <is>
          <t>6</t>
        </is>
      </c>
      <c r="G118" s="14" t="inlineStr">
        <is>
          <t>10</t>
        </is>
      </c>
      <c r="H118" s="13" t="inlineStr">
        <is>
          <t>Inspection of repository, README and architecture docs.</t>
        </is>
      </c>
      <c r="I118" s="14" t="inlineStr">
        <is>
          <t>I</t>
        </is>
      </c>
      <c r="J118" s="13" t="inlineStr"/>
      <c r="K118" s="13" t="inlineStr">
        <is>
          <t>T-02, T-03</t>
        </is>
      </c>
      <c r="L118" s="13" t="inlineStr">
        <is>
          <t>feature/architecture-docs, feature/project-setup</t>
        </is>
      </c>
      <c r="M118" s="15" t="inlineStr">
        <is>
          <t>Implemented</t>
        </is>
      </c>
      <c r="N118" s="16" t="inlineStr">
        <is>
          <t>apps/web: Next.js App Router</t>
        </is>
      </c>
      <c r="O118" s="16" t="inlineStr"/>
      <c r="P118" s="4">
        <f>","&amp;SUBSTITUTE(F118," ","")&amp;","</f>
        <v/>
      </c>
    </row>
    <row r="119" ht="33" customHeight="1">
      <c r="A119" s="17" t="inlineStr">
        <is>
          <t>DC-02</t>
        </is>
      </c>
      <c r="B119" s="9" t="inlineStr">
        <is>
          <t>DC</t>
        </is>
      </c>
      <c r="C119" s="9" t="inlineStr">
        <is>
          <t>CONSTRAINT</t>
        </is>
      </c>
      <c r="D119" s="17" t="inlineStr">
        <is>
          <t>The backend shall be Node.js. The framework choice (Express, NestJS, Fastify, …) shall be justified in the README.</t>
        </is>
      </c>
      <c r="E119" s="9" t="inlineStr">
        <is>
          <t>M</t>
        </is>
      </c>
      <c r="F119" s="9" t="inlineStr">
        <is>
          <t>6, 7</t>
        </is>
      </c>
      <c r="G119" s="9" t="inlineStr">
        <is>
          <t>10</t>
        </is>
      </c>
      <c r="H119" s="17" t="inlineStr">
        <is>
          <t>Inspection of repository, README and architecture docs.</t>
        </is>
      </c>
      <c r="I119" s="9" t="inlineStr">
        <is>
          <t>I</t>
        </is>
      </c>
      <c r="J119" s="17" t="inlineStr"/>
      <c r="K119" s="17" t="inlineStr">
        <is>
          <t>T-02, T-03</t>
        </is>
      </c>
      <c r="L119" s="17" t="inlineStr">
        <is>
          <t>feature/architecture-docs, feature/project-setup</t>
        </is>
      </c>
      <c r="M119" s="15" t="inlineStr">
        <is>
          <t>Implemented</t>
        </is>
      </c>
      <c r="N119" s="16" t="inlineStr">
        <is>
          <t>apps/api: Node.js + Express 5</t>
        </is>
      </c>
      <c r="O119" s="16" t="inlineStr"/>
      <c r="P119" s="4">
        <f>","&amp;SUBSTITUTE(F119," ","")&amp;","</f>
        <v/>
      </c>
    </row>
    <row r="120" ht="33" customHeight="1">
      <c r="A120" s="13" t="inlineStr">
        <is>
          <t>DC-03</t>
        </is>
      </c>
      <c r="B120" s="14" t="inlineStr">
        <is>
          <t>DC</t>
        </is>
      </c>
      <c r="C120" s="14" t="inlineStr">
        <is>
          <t>CONSTRAINT</t>
        </is>
      </c>
      <c r="D120" s="13" t="inlineStr">
        <is>
          <t>The database shall be relational, chosen and justified by the developer. PostgreSQL is recommended (D-13).</t>
        </is>
      </c>
      <c r="E120" s="14" t="inlineStr">
        <is>
          <t>M</t>
        </is>
      </c>
      <c r="F120" s="14" t="inlineStr">
        <is>
          <t>6</t>
        </is>
      </c>
      <c r="G120" s="14" t="inlineStr">
        <is>
          <t>10</t>
        </is>
      </c>
      <c r="H120" s="13" t="inlineStr">
        <is>
          <t>Inspection of repository, README and architecture docs.</t>
        </is>
      </c>
      <c r="I120" s="14" t="inlineStr">
        <is>
          <t>I</t>
        </is>
      </c>
      <c r="J120" s="13" t="inlineStr"/>
      <c r="K120" s="13" t="inlineStr">
        <is>
          <t>T-02, T-05</t>
        </is>
      </c>
      <c r="L120" s="13" t="inlineStr">
        <is>
          <t>feature/architecture-docs, feature/project-setup</t>
        </is>
      </c>
      <c r="M120" s="15" t="inlineStr">
        <is>
          <t>Implemented</t>
        </is>
      </c>
      <c r="N120" s="16" t="inlineStr">
        <is>
          <t>PostgreSQL 16 container</t>
        </is>
      </c>
      <c r="O120" s="16" t="inlineStr"/>
      <c r="P120" s="4">
        <f>","&amp;SUBSTITUTE(F120," ","")&amp;","</f>
        <v/>
      </c>
    </row>
    <row r="121" ht="18" customHeight="1">
      <c r="A121" s="17" t="inlineStr">
        <is>
          <t>DC-04</t>
        </is>
      </c>
      <c r="B121" s="9" t="inlineStr">
        <is>
          <t>DC</t>
        </is>
      </c>
      <c r="C121" s="9" t="inlineStr">
        <is>
          <t>CONSTRAINT</t>
        </is>
      </c>
      <c r="D121" s="17" t="inlineStr">
        <is>
          <t>Only free or free-tier services shall be used.</t>
        </is>
      </c>
      <c r="E121" s="9" t="inlineStr">
        <is>
          <t>M</t>
        </is>
      </c>
      <c r="F121" s="9" t="inlineStr">
        <is>
          <t>6, 16</t>
        </is>
      </c>
      <c r="G121" s="9" t="inlineStr">
        <is>
          <t>10</t>
        </is>
      </c>
      <c r="H121" s="17" t="inlineStr">
        <is>
          <t>Inspection of repository, README and architecture docs.</t>
        </is>
      </c>
      <c r="I121" s="9" t="inlineStr">
        <is>
          <t>I</t>
        </is>
      </c>
      <c r="J121" s="17" t="inlineStr"/>
      <c r="K121" s="17" t="inlineStr">
        <is>
          <t>T-25</t>
        </is>
      </c>
      <c r="L121" s="17" t="inlineStr">
        <is>
          <t>pre-release</t>
        </is>
      </c>
      <c r="M121" s="15" t="inlineStr">
        <is>
          <t>Proposed</t>
        </is>
      </c>
      <c r="N121" s="16" t="inlineStr"/>
      <c r="O121" s="16" t="inlineStr"/>
      <c r="P121" s="4">
        <f>","&amp;SUBSTITUTE(F121," ","")&amp;","</f>
        <v/>
      </c>
    </row>
    <row r="122" ht="48" customHeight="1">
      <c r="A122" s="13" t="inlineStr">
        <is>
          <t>DC-05</t>
        </is>
      </c>
      <c r="B122" s="14" t="inlineStr">
        <is>
          <t>DC</t>
        </is>
      </c>
      <c r="C122" s="14" t="inlineStr">
        <is>
          <t>CONSTRAINT</t>
        </is>
      </c>
      <c r="D122" s="13" t="inlineStr">
        <is>
          <t>Microservices, Kafka, Kubernetes, Redis or queues shall not be introduced without a documented, concrete need. The MVP is one API, one web app and one DB.</t>
        </is>
      </c>
      <c r="E122" s="14" t="inlineStr">
        <is>
          <t>M</t>
        </is>
      </c>
      <c r="F122" s="14" t="inlineStr">
        <is>
          <t>9</t>
        </is>
      </c>
      <c r="G122" s="14" t="inlineStr">
        <is>
          <t>10</t>
        </is>
      </c>
      <c r="H122" s="13" t="inlineStr">
        <is>
          <t>Inspection of repository, README and architecture docs.</t>
        </is>
      </c>
      <c r="I122" s="14" t="inlineStr">
        <is>
          <t>I</t>
        </is>
      </c>
      <c r="J122" s="13" t="inlineStr"/>
      <c r="K122" s="13" t="inlineStr">
        <is>
          <t>T-02</t>
        </is>
      </c>
      <c r="L122" s="13" t="inlineStr">
        <is>
          <t>feature/architecture-docs</t>
        </is>
      </c>
      <c r="M122" s="15" t="inlineStr">
        <is>
          <t>Implemented</t>
        </is>
      </c>
      <c r="N122" s="16" t="inlineStr">
        <is>
          <t>Three containers only: db, api, web</t>
        </is>
      </c>
      <c r="O122" s="16" t="inlineStr"/>
      <c r="P122" s="4">
        <f>","&amp;SUBSTITUTE(F122," ","")&amp;","</f>
        <v/>
      </c>
    </row>
    <row r="123" ht="33" customHeight="1">
      <c r="A123" s="17" t="inlineStr">
        <is>
          <t>DC-06</t>
        </is>
      </c>
      <c r="B123" s="9" t="inlineStr">
        <is>
          <t>DC</t>
        </is>
      </c>
      <c r="C123" s="9" t="inlineStr">
        <is>
          <t>CONSTRAINT</t>
        </is>
      </c>
      <c r="D123" s="17" t="inlineStr">
        <is>
          <t>No real map, routing or payment API is required. The system shall work fully offline from third-party services.</t>
        </is>
      </c>
      <c r="E123" s="9" t="inlineStr">
        <is>
          <t>M</t>
        </is>
      </c>
      <c r="F123" s="9" t="inlineStr">
        <is>
          <t>4, 5</t>
        </is>
      </c>
      <c r="G123" s="9" t="inlineStr">
        <is>
          <t>10</t>
        </is>
      </c>
      <c r="H123" s="17" t="inlineStr">
        <is>
          <t>Inspection of repository, README and architecture docs.</t>
        </is>
      </c>
      <c r="I123" s="9" t="inlineStr">
        <is>
          <t>I</t>
        </is>
      </c>
      <c r="J123" s="17" t="inlineStr"/>
      <c r="K123" s="17" t="inlineStr">
        <is>
          <t>T-05</t>
        </is>
      </c>
      <c r="L123" s="17" t="inlineStr">
        <is>
          <t>feature/project-setup</t>
        </is>
      </c>
      <c r="M123" s="15" t="inlineStr">
        <is>
          <t>Implemented</t>
        </is>
      </c>
      <c r="N123" s="16" t="inlineStr">
        <is>
          <t>No third-party runtime services</t>
        </is>
      </c>
      <c r="O123" s="16" t="inlineStr"/>
      <c r="P123" s="4">
        <f>","&amp;SUBSTITUTE(F123," ","")&amp;","</f>
        <v/>
      </c>
    </row>
    <row r="124" ht="63" customHeight="1">
      <c r="A124" s="13" t="inlineStr">
        <is>
          <t>DC-07</t>
        </is>
      </c>
      <c r="B124" s="14" t="inlineStr">
        <is>
          <t>DC</t>
        </is>
      </c>
      <c r="C124" s="14" t="inlineStr">
        <is>
          <t>CONSTRAINT</t>
        </is>
      </c>
      <c r="D124" s="13" t="inlineStr">
        <is>
          <t>For every non-mandated choice (DB, ORM, auth, styling, tests, hosting), the README shall state: the choice, the realistic alternatives, why it fits a ride-pooling MVP, and the conditions that would prompt a change.</t>
        </is>
      </c>
      <c r="E124" s="14" t="inlineStr">
        <is>
          <t>M</t>
        </is>
      </c>
      <c r="F124" s="14" t="inlineStr">
        <is>
          <t>7</t>
        </is>
      </c>
      <c r="G124" s="14" t="inlineStr">
        <is>
          <t>10</t>
        </is>
      </c>
      <c r="H124" s="13" t="inlineStr">
        <is>
          <t>Inspection of repository, README and architecture docs.</t>
        </is>
      </c>
      <c r="I124" s="14" t="inlineStr">
        <is>
          <t>I</t>
        </is>
      </c>
      <c r="J124" s="13" t="inlineStr"/>
      <c r="K124" s="13" t="inlineStr">
        <is>
          <t>T-02</t>
        </is>
      </c>
      <c r="L124" s="13" t="inlineStr">
        <is>
          <t>feature/architecture-docs</t>
        </is>
      </c>
      <c r="M124" s="15" t="inlineStr">
        <is>
          <t>Proposed</t>
        </is>
      </c>
      <c r="N124" s="16" t="inlineStr"/>
      <c r="O124" s="16" t="inlineStr"/>
      <c r="P124" s="4">
        <f>","&amp;SUBSTITUTE(F124," ","")&amp;","</f>
        <v/>
      </c>
    </row>
    <row r="125" ht="33" customHeight="1">
      <c r="A125" s="17" t="inlineStr">
        <is>
          <t>DR-01</t>
        </is>
      </c>
      <c r="B125" s="9" t="inlineStr">
        <is>
          <t>DR</t>
        </is>
      </c>
      <c r="C125" s="9" t="inlineStr">
        <is>
          <t>DELIVERY</t>
        </is>
      </c>
      <c r="D125" s="17" t="inlineStr">
        <is>
          <t>The repository shall have long-lived branches master, pre-release and release/v1.0.0.</t>
        </is>
      </c>
      <c r="E125" s="9" t="inlineStr">
        <is>
          <t>M</t>
        </is>
      </c>
      <c r="F125" s="9" t="inlineStr">
        <is>
          <t>10</t>
        </is>
      </c>
      <c r="G125" s="9" t="inlineStr">
        <is>
          <t>11</t>
        </is>
      </c>
      <c r="H125" s="17" t="inlineStr">
        <is>
          <t>The branches exist on the remote.</t>
        </is>
      </c>
      <c r="I125" s="9" t="inlineStr">
        <is>
          <t>I</t>
        </is>
      </c>
      <c r="J125" s="17" t="inlineStr"/>
      <c r="K125" s="17" t="inlineStr">
        <is>
          <t>T-27</t>
        </is>
      </c>
      <c r="L125" s="17" t="inlineStr">
        <is>
          <t>release/v1.0.0</t>
        </is>
      </c>
      <c r="M125" s="15" t="inlineStr">
        <is>
          <t>Proposed</t>
        </is>
      </c>
      <c r="N125" s="16" t="inlineStr"/>
      <c r="O125" s="16" t="inlineStr"/>
      <c r="P125" s="4">
        <f>","&amp;SUBSTITUTE(F125," ","")&amp;","</f>
        <v/>
      </c>
    </row>
    <row r="126" ht="78" customHeight="1">
      <c r="A126" s="13" t="inlineStr">
        <is>
          <t>DR-02</t>
        </is>
      </c>
      <c r="B126" s="14" t="inlineStr">
        <is>
          <t>DR</t>
        </is>
      </c>
      <c r="C126" s="14" t="inlineStr">
        <is>
          <t>DELIVERY</t>
        </is>
      </c>
      <c r="D126" s="13" t="inlineStr">
        <is>
          <t>Feature work shall be done on feature/* branches (e.g. feature/passenger-auth, feature/tesla-pooling, feature/driver-flow) and merged into master when working. Nothing shall be pushed directly to master. pre-release is cut after MVP integration; release/v1.0.0 is cut from pre-release.</t>
        </is>
      </c>
      <c r="E126" s="14" t="inlineStr">
        <is>
          <t>M</t>
        </is>
      </c>
      <c r="F126" s="14" t="inlineStr">
        <is>
          <t>10, 16</t>
        </is>
      </c>
      <c r="G126" s="14" t="inlineStr">
        <is>
          <t>11</t>
        </is>
      </c>
      <c r="H126" s="13" t="inlineStr">
        <is>
          <t>The git graph shows merges from feature branches.</t>
        </is>
      </c>
      <c r="I126" s="14" t="inlineStr">
        <is>
          <t>I</t>
        </is>
      </c>
      <c r="J126" s="13" t="inlineStr"/>
      <c r="K126" s="13" t="inlineStr">
        <is>
          <t>T-27</t>
        </is>
      </c>
      <c r="L126" s="13" t="inlineStr">
        <is>
          <t>release/v1.0.0</t>
        </is>
      </c>
      <c r="M126" s="15" t="inlineStr">
        <is>
          <t>Proposed</t>
        </is>
      </c>
      <c r="N126" s="16" t="inlineStr">
        <is>
          <t>docs/ARCHITECTURE.md §3–4, §12; docs/ERD.md §1</t>
        </is>
      </c>
      <c r="O126" s="16" t="inlineStr"/>
      <c r="P126" s="4">
        <f>","&amp;SUBSTITUTE(F126," ","")&amp;","</f>
        <v/>
      </c>
    </row>
    <row r="127" ht="63" customHeight="1">
      <c r="A127" s="17" t="inlineStr">
        <is>
          <t>DR-03</t>
        </is>
      </c>
      <c r="B127" s="9" t="inlineStr">
        <is>
          <t>DR</t>
        </is>
      </c>
      <c r="C127" s="9" t="inlineStr">
        <is>
          <t>DELIVERY</t>
        </is>
      </c>
      <c r="D127" s="17" t="inlineStr">
        <is>
          <t>Commits shall follow &lt;type&gt;(&lt;scope&gt;): &lt;description&gt; with types feat, fix, refactor, test, docs, chore, build. Each commit is one logical change. There shall be no vague messages and no micro-commit spam.</t>
        </is>
      </c>
      <c r="E127" s="9" t="inlineStr">
        <is>
          <t>M</t>
        </is>
      </c>
      <c r="F127" s="9" t="inlineStr">
        <is>
          <t>11</t>
        </is>
      </c>
      <c r="G127" s="9" t="inlineStr">
        <is>
          <t>11</t>
        </is>
      </c>
      <c r="H127" s="17" t="inlineStr">
        <is>
          <t>Log review.</t>
        </is>
      </c>
      <c r="I127" s="9" t="inlineStr">
        <is>
          <t>I</t>
        </is>
      </c>
      <c r="J127" s="17" t="inlineStr"/>
      <c r="K127" s="17" t="inlineStr">
        <is>
          <t>T-27</t>
        </is>
      </c>
      <c r="L127" s="17" t="inlineStr">
        <is>
          <t>release/v1.0.0</t>
        </is>
      </c>
      <c r="M127" s="15" t="inlineStr">
        <is>
          <t>Proposed</t>
        </is>
      </c>
      <c r="N127" s="16" t="inlineStr">
        <is>
          <t>docs/adr/0001–0012 (README summary pending, T-24)</t>
        </is>
      </c>
      <c r="O127" s="16" t="inlineStr"/>
      <c r="P127" s="4">
        <f>","&amp;SUBSTITUTE(F127," ","")&amp;","</f>
        <v/>
      </c>
    </row>
    <row r="128" ht="33" customHeight="1">
      <c r="A128" s="13" t="inlineStr">
        <is>
          <t>DR-04</t>
        </is>
      </c>
      <c r="B128" s="14" t="inlineStr">
        <is>
          <t>DR</t>
        </is>
      </c>
      <c r="C128" s="14" t="inlineStr">
        <is>
          <t>DELIVERY</t>
        </is>
      </c>
      <c r="D128" s="13" t="inlineStr">
        <is>
          <t>The history shall show incremental progress. There shall be no single giant commit containing the finished system.</t>
        </is>
      </c>
      <c r="E128" s="14" t="inlineStr">
        <is>
          <t>M</t>
        </is>
      </c>
      <c r="F128" s="14" t="inlineStr">
        <is>
          <t>10, 16, 18</t>
        </is>
      </c>
      <c r="G128" s="14" t="inlineStr">
        <is>
          <t>11</t>
        </is>
      </c>
      <c r="H128" s="13" t="inlineStr">
        <is>
          <t>Log review.</t>
        </is>
      </c>
      <c r="I128" s="14" t="inlineStr">
        <is>
          <t>I</t>
        </is>
      </c>
      <c r="J128" s="13" t="inlineStr"/>
      <c r="K128" s="13" t="inlineStr">
        <is>
          <t>T-27</t>
        </is>
      </c>
      <c r="L128" s="13" t="inlineStr">
        <is>
          <t>release/v1.0.0</t>
        </is>
      </c>
      <c r="M128" s="15" t="inlineStr">
        <is>
          <t>Proposed</t>
        </is>
      </c>
      <c r="N128" s="16" t="inlineStr"/>
      <c r="O128" s="16" t="inlineStr"/>
      <c r="P128" s="4">
        <f>","&amp;SUBSTITUTE(F128," ","")&amp;","</f>
        <v/>
      </c>
    </row>
    <row r="129" ht="108" customHeight="1">
      <c r="A129" s="17" t="inlineStr">
        <is>
          <t>DR-05</t>
        </is>
      </c>
      <c r="B129" s="9" t="inlineStr">
        <is>
          <t>DR</t>
        </is>
      </c>
      <c r="C129" s="9" t="inlineStr">
        <is>
          <t>DELIVERY</t>
        </is>
      </c>
      <c r="D129" s="17" t="inlineStr">
        <is>
          <t>The README shall cover: summary, problem, features, screenshots or GIFs, architecture diagram, ERD, tech stack, structure, prerequisites, environment variables, local and Docker setup, migrations and seed, how to run the apps and tests, demo credentials, deployment URL, API overview, key decisions and trade-offs, known limitations, next improvements, AI usage, and the video link.</t>
        </is>
      </c>
      <c r="E129" s="9" t="inlineStr">
        <is>
          <t>M</t>
        </is>
      </c>
      <c r="F129" s="9" t="inlineStr">
        <is>
          <t>12</t>
        </is>
      </c>
      <c r="G129" s="9" t="inlineStr">
        <is>
          <t>11</t>
        </is>
      </c>
      <c r="H129" s="17" t="inlineStr">
        <is>
          <t>Checklist review.</t>
        </is>
      </c>
      <c r="I129" s="9" t="inlineStr">
        <is>
          <t>I</t>
        </is>
      </c>
      <c r="J129" s="17" t="inlineStr">
        <is>
          <t>TC-36</t>
        </is>
      </c>
      <c r="K129" s="17" t="inlineStr">
        <is>
          <t>T-24</t>
        </is>
      </c>
      <c r="L129" s="17" t="inlineStr">
        <is>
          <t>pre-release</t>
        </is>
      </c>
      <c r="M129" s="15" t="inlineStr">
        <is>
          <t>Proposed</t>
        </is>
      </c>
      <c r="N129" s="16" t="inlineStr"/>
      <c r="O129" s="16" t="inlineStr"/>
      <c r="P129" s="4">
        <f>","&amp;SUBSTITUTE(F129," ","")&amp;","</f>
        <v/>
      </c>
    </row>
    <row r="130" ht="48" customHeight="1">
      <c r="A130" s="13" t="inlineStr">
        <is>
          <t>DR-06</t>
        </is>
      </c>
      <c r="B130" s="14" t="inlineStr">
        <is>
          <t>DR</t>
        </is>
      </c>
      <c r="C130" s="14" t="inlineStr">
        <is>
          <t>DELIVERY</t>
        </is>
      </c>
      <c r="D130" s="13" t="inlineStr">
        <is>
          <t>An architecture diagram (at minimum Browser → Next.js/React → Node.js API → DB) and an ERD shall be provided and kept consistent with the implementation.</t>
        </is>
      </c>
      <c r="E130" s="14" t="inlineStr">
        <is>
          <t>M</t>
        </is>
      </c>
      <c r="F130" s="14" t="inlineStr">
        <is>
          <t>9</t>
        </is>
      </c>
      <c r="G130" s="14" t="inlineStr">
        <is>
          <t>11</t>
        </is>
      </c>
      <c r="H130" s="13" t="inlineStr">
        <is>
          <t>Diagrams exist in the repo and README and match the code.</t>
        </is>
      </c>
      <c r="I130" s="14" t="inlineStr">
        <is>
          <t>I</t>
        </is>
      </c>
      <c r="J130" s="13" t="inlineStr"/>
      <c r="K130" s="13" t="inlineStr">
        <is>
          <t>T-02</t>
        </is>
      </c>
      <c r="L130" s="13" t="inlineStr">
        <is>
          <t>feature/architecture-docs</t>
        </is>
      </c>
      <c r="M130" s="15" t="inlineStr">
        <is>
          <t>In Progress</t>
        </is>
      </c>
      <c r="N130" s="16" t="inlineStr">
        <is>
          <t>docs/ARCHITECTURE.md §3–4, §12; docs/ERD.md §1</t>
        </is>
      </c>
      <c r="O130" s="16" t="inlineStr"/>
      <c r="P130" s="4">
        <f>","&amp;SUBSTITUTE(F130," ","")&amp;","</f>
        <v/>
      </c>
    </row>
    <row r="131" ht="33" customHeight="1">
      <c r="A131" s="17" t="inlineStr">
        <is>
          <t>DR-07</t>
        </is>
      </c>
      <c r="B131" s="9" t="inlineStr">
        <is>
          <t>DR</t>
        </is>
      </c>
      <c r="C131" s="9" t="inlineStr">
        <is>
          <t>DELIVERY</t>
        </is>
      </c>
      <c r="D131" s="17" t="inlineStr">
        <is>
          <t>The README shall justify every non-mandated technology choice (DC-07).</t>
        </is>
      </c>
      <c r="E131" s="9" t="inlineStr">
        <is>
          <t>M</t>
        </is>
      </c>
      <c r="F131" s="9" t="inlineStr">
        <is>
          <t>7</t>
        </is>
      </c>
      <c r="G131" s="9" t="inlineStr">
        <is>
          <t>11</t>
        </is>
      </c>
      <c r="H131" s="17" t="inlineStr">
        <is>
          <t>Review.</t>
        </is>
      </c>
      <c r="I131" s="9" t="inlineStr">
        <is>
          <t>I</t>
        </is>
      </c>
      <c r="J131" s="17" t="inlineStr"/>
      <c r="K131" s="17" t="inlineStr">
        <is>
          <t>T-02, T-24</t>
        </is>
      </c>
      <c r="L131" s="17" t="inlineStr">
        <is>
          <t>feature/architecture-docs, pre-release</t>
        </is>
      </c>
      <c r="M131" s="15" t="inlineStr">
        <is>
          <t>In Progress</t>
        </is>
      </c>
      <c r="N131" s="16" t="inlineStr">
        <is>
          <t>docs/adr/0001–0012 (README summary pending, T-24)</t>
        </is>
      </c>
      <c r="O131" s="16" t="inlineStr"/>
      <c r="P131" s="4">
        <f>","&amp;SUBSTITUTE(F131," ","")&amp;","</f>
        <v/>
      </c>
    </row>
    <row r="132" ht="48" customHeight="1">
      <c r="A132" s="13" t="inlineStr">
        <is>
          <t>DR-08</t>
        </is>
      </c>
      <c r="B132" s="14" t="inlineStr">
        <is>
          <t>DR</t>
        </is>
      </c>
      <c r="C132" s="14" t="inlineStr">
        <is>
          <t>DELIVERY</t>
        </is>
      </c>
      <c r="D132" s="13" t="inlineStr">
        <is>
          <t>The README shall include an AI Usage section: which tools were used and for what, one accepted suggestion, and one rejected or changed suggestion with the reason.</t>
        </is>
      </c>
      <c r="E132" s="14" t="inlineStr">
        <is>
          <t>M</t>
        </is>
      </c>
      <c r="F132" s="14" t="inlineStr">
        <is>
          <t>8</t>
        </is>
      </c>
      <c r="G132" s="14" t="inlineStr">
        <is>
          <t>11</t>
        </is>
      </c>
      <c r="H132" s="13" t="inlineStr">
        <is>
          <t>Review.</t>
        </is>
      </c>
      <c r="I132" s="14" t="inlineStr">
        <is>
          <t>I</t>
        </is>
      </c>
      <c r="J132" s="13" t="inlineStr"/>
      <c r="K132" s="13" t="inlineStr">
        <is>
          <t>T-24</t>
        </is>
      </c>
      <c r="L132" s="13" t="inlineStr">
        <is>
          <t>pre-release</t>
        </is>
      </c>
      <c r="M132" s="15" t="inlineStr">
        <is>
          <t>Proposed</t>
        </is>
      </c>
      <c r="N132" s="16" t="inlineStr"/>
      <c r="O132" s="16" t="inlineStr"/>
      <c r="P132" s="4">
        <f>","&amp;SUBSTITUTE(F132," ","")&amp;","</f>
        <v/>
      </c>
    </row>
    <row r="133" ht="33" customHeight="1">
      <c r="A133" s="17" t="inlineStr">
        <is>
          <t>DR-09</t>
        </is>
      </c>
      <c r="B133" s="9" t="inlineStr">
        <is>
          <t>DR</t>
        </is>
      </c>
      <c r="C133" s="9" t="inlineStr">
        <is>
          <t>DELIVERY</t>
        </is>
      </c>
      <c r="D133" s="17" t="inlineStr">
        <is>
          <t>The repo shall include Docker Compose, .env.example, migrations and seed data using the reference personas (§1.3.4).</t>
        </is>
      </c>
      <c r="E133" s="9" t="inlineStr">
        <is>
          <t>M</t>
        </is>
      </c>
      <c r="F133" s="9" t="inlineStr">
        <is>
          <t>6, 14</t>
        </is>
      </c>
      <c r="G133" s="9" t="inlineStr">
        <is>
          <t>11</t>
        </is>
      </c>
      <c r="H133" s="17" t="inlineStr">
        <is>
          <t>NFR-POR-01 passes.</t>
        </is>
      </c>
      <c r="I133" s="9" t="inlineStr">
        <is>
          <t>I</t>
        </is>
      </c>
      <c r="J133" s="17" t="inlineStr">
        <is>
          <t>TC-36</t>
        </is>
      </c>
      <c r="K133" s="17" t="inlineStr">
        <is>
          <t>T-05</t>
        </is>
      </c>
      <c r="L133" s="17" t="inlineStr">
        <is>
          <t>feature/project-setup</t>
        </is>
      </c>
      <c r="M133" s="15" t="inlineStr">
        <is>
          <t>Implemented</t>
        </is>
      </c>
      <c r="N133" s="16" t="inlineStr">
        <is>
          <t>docker-compose.yml, .env.example, migrations, persona seed — feature/project-setup, feature/db-schema</t>
        </is>
      </c>
      <c r="O133" s="16" t="inlineStr"/>
      <c r="P133" s="4">
        <f>","&amp;SUBSTITUTE(F133," ","")&amp;","</f>
        <v/>
      </c>
    </row>
    <row r="134" ht="78" customHeight="1">
      <c r="A134" s="13" t="inlineStr">
        <is>
          <t>DR-10</t>
        </is>
      </c>
      <c r="B134" s="14" t="inlineStr">
        <is>
          <t>DR</t>
        </is>
      </c>
      <c r="C134" s="14" t="inlineStr">
        <is>
          <t>DELIVERY</t>
        </is>
      </c>
      <c r="D134" s="13" t="inlineStr">
        <is>
          <t>Automated tests shall cover at least: (1) capacity is never exceeded; (2) invalid transitions are rejected; (3) Nusrat's and Rafiq's pooled fares are correct; (4) users cannot modify another user's ride; (5) cancellation rules hold; (6) concurrent requests cannot corrupt capacity.</t>
        </is>
      </c>
      <c r="E134" s="14" t="inlineStr">
        <is>
          <t>M</t>
        </is>
      </c>
      <c r="F134" s="14" t="inlineStr">
        <is>
          <t>12</t>
        </is>
      </c>
      <c r="G134" s="14" t="inlineStr">
        <is>
          <t>11</t>
        </is>
      </c>
      <c r="H134" s="13" t="inlineStr">
        <is>
          <t>Test IDs TC-01…TC-06 (and more) pass.</t>
        </is>
      </c>
      <c r="I134" s="14" t="inlineStr">
        <is>
          <t>I</t>
        </is>
      </c>
      <c r="J134" s="13" t="inlineStr"/>
      <c r="K134" s="13" t="inlineStr">
        <is>
          <t>T-23</t>
        </is>
      </c>
      <c r="L134" s="13" t="inlineStr">
        <is>
          <t>pre-release</t>
        </is>
      </c>
      <c r="M134" s="15" t="inlineStr">
        <is>
          <t>Proposed</t>
        </is>
      </c>
      <c r="N134" s="16" t="inlineStr"/>
      <c r="O134" s="16" t="inlineStr"/>
      <c r="P134" s="4">
        <f>","&amp;SUBSTITUTE(F134," ","")&amp;","</f>
        <v/>
      </c>
    </row>
    <row r="135" ht="48" customHeight="1">
      <c r="A135" s="17" t="inlineStr">
        <is>
          <t>DR-11</t>
        </is>
      </c>
      <c r="B135" s="9" t="inlineStr">
        <is>
          <t>DR</t>
        </is>
      </c>
      <c r="C135" s="9" t="inlineStr">
        <is>
          <t>DELIVERY</t>
        </is>
      </c>
      <c r="D135" s="17" t="inlineStr">
        <is>
          <t>The system shall be deployed on free tiers with the URL in the README, or a documented reproducible Docker deployment and the constraint that prevented deployment.</t>
        </is>
      </c>
      <c r="E135" s="9" t="inlineStr">
        <is>
          <t>S</t>
        </is>
      </c>
      <c r="F135" s="9" t="inlineStr">
        <is>
          <t>6, 14</t>
        </is>
      </c>
      <c r="G135" s="9" t="inlineStr">
        <is>
          <t>11</t>
        </is>
      </c>
      <c r="H135" s="17" t="inlineStr">
        <is>
          <t>URL or documented fallback.</t>
        </is>
      </c>
      <c r="I135" s="9" t="inlineStr">
        <is>
          <t>I</t>
        </is>
      </c>
      <c r="J135" s="17" t="inlineStr">
        <is>
          <t>TC-37</t>
        </is>
      </c>
      <c r="K135" s="17" t="inlineStr">
        <is>
          <t>T-25</t>
        </is>
      </c>
      <c r="L135" s="17" t="inlineStr">
        <is>
          <t>pre-release</t>
        </is>
      </c>
      <c r="M135" s="15" t="inlineStr">
        <is>
          <t>Proposed</t>
        </is>
      </c>
      <c r="N135" s="16" t="inlineStr"/>
      <c r="O135" s="16" t="inlineStr"/>
      <c r="P135" s="4">
        <f>","&amp;SUBSTITUTE(F135," ","")&amp;","</f>
        <v/>
      </c>
    </row>
    <row r="136" ht="48" customHeight="1">
      <c r="A136" s="13" t="inlineStr">
        <is>
          <t>DR-12</t>
        </is>
      </c>
      <c r="B136" s="14" t="inlineStr">
        <is>
          <t>DR</t>
        </is>
      </c>
      <c r="C136" s="14" t="inlineStr">
        <is>
          <t>DELIVERY</t>
        </is>
      </c>
      <c r="D136" s="13" t="inlineStr">
        <is>
          <t>A video of at most 6 minutes shall be linked prominently in the README, following the PRD §13 structure (problem, engineering, product tour).</t>
        </is>
      </c>
      <c r="E136" s="14" t="inlineStr">
        <is>
          <t>M</t>
        </is>
      </c>
      <c r="F136" s="14" t="inlineStr">
        <is>
          <t>13</t>
        </is>
      </c>
      <c r="G136" s="14" t="inlineStr">
        <is>
          <t>11</t>
        </is>
      </c>
      <c r="H136" s="13" t="inlineStr">
        <is>
          <t>The link works and the video is ≤ 6:00.</t>
        </is>
      </c>
      <c r="I136" s="14" t="inlineStr">
        <is>
          <t>I</t>
        </is>
      </c>
      <c r="J136" s="13" t="inlineStr"/>
      <c r="K136" s="13" t="inlineStr">
        <is>
          <t>T-27</t>
        </is>
      </c>
      <c r="L136" s="13" t="inlineStr">
        <is>
          <t>release/v1.0.0</t>
        </is>
      </c>
      <c r="M136" s="15" t="inlineStr">
        <is>
          <t>Proposed</t>
        </is>
      </c>
      <c r="N136" s="16" t="inlineStr"/>
      <c r="O136" s="16" t="inlineStr"/>
      <c r="P136" s="4">
        <f>","&amp;SUBSTITUTE(F136," ","")&amp;","</f>
        <v/>
      </c>
    </row>
    <row r="137" ht="18" customHeight="1">
      <c r="A137" s="17" t="inlineStr">
        <is>
          <t>DR-13</t>
        </is>
      </c>
      <c r="B137" s="9" t="inlineStr">
        <is>
          <t>DR</t>
        </is>
      </c>
      <c r="C137" s="9" t="inlineStr">
        <is>
          <t>DELIVERY</t>
        </is>
      </c>
      <c r="D137" s="17" t="inlineStr">
        <is>
          <t>No paid infrastructure shall be used, and no secrets committed.</t>
        </is>
      </c>
      <c r="E137" s="9" t="inlineStr">
        <is>
          <t>M</t>
        </is>
      </c>
      <c r="F137" s="9" t="inlineStr">
        <is>
          <t>16</t>
        </is>
      </c>
      <c r="G137" s="9" t="inlineStr">
        <is>
          <t>11</t>
        </is>
      </c>
      <c r="H137" s="17" t="inlineStr">
        <is>
          <t>Review.</t>
        </is>
      </c>
      <c r="I137" s="9" t="inlineStr">
        <is>
          <t>I</t>
        </is>
      </c>
      <c r="J137" s="17" t="inlineStr"/>
      <c r="K137" s="17" t="inlineStr">
        <is>
          <t>T-25</t>
        </is>
      </c>
      <c r="L137" s="17" t="inlineStr">
        <is>
          <t>pre-release</t>
        </is>
      </c>
      <c r="M137" s="15" t="inlineStr">
        <is>
          <t>Proposed</t>
        </is>
      </c>
      <c r="N137" s="16" t="inlineStr"/>
      <c r="O137" s="16" t="inlineStr"/>
      <c r="P137" s="4">
        <f>","&amp;SUBSTITUTE(F137," ","")&amp;","</f>
        <v/>
      </c>
    </row>
    <row r="138" ht="33" customHeight="1">
      <c r="A138" s="13" t="inlineStr">
        <is>
          <t>DR-14</t>
        </is>
      </c>
      <c r="B138" s="14" t="inlineStr">
        <is>
          <t>DR</t>
        </is>
      </c>
      <c r="C138" s="14" t="inlineStr">
        <is>
          <t>DELIVERY</t>
        </is>
      </c>
      <c r="D138" s="13" t="inlineStr">
        <is>
          <t>No technology shall be added only to make the architecture look impressive.</t>
        </is>
      </c>
      <c r="E138" s="14" t="inlineStr">
        <is>
          <t>M</t>
        </is>
      </c>
      <c r="F138" s="14" t="inlineStr">
        <is>
          <t>9, 16</t>
        </is>
      </c>
      <c r="G138" s="14" t="inlineStr">
        <is>
          <t>11</t>
        </is>
      </c>
      <c r="H138" s="13" t="inlineStr">
        <is>
          <t>Every component in the diagram has a stated reason.</t>
        </is>
      </c>
      <c r="I138" s="14" t="inlineStr">
        <is>
          <t>I</t>
        </is>
      </c>
      <c r="J138" s="13" t="inlineStr"/>
      <c r="K138" s="13" t="inlineStr">
        <is>
          <t>T-02</t>
        </is>
      </c>
      <c r="L138" s="13" t="inlineStr">
        <is>
          <t>feature/architecture-docs</t>
        </is>
      </c>
      <c r="M138" s="15" t="inlineStr">
        <is>
          <t>Proposed</t>
        </is>
      </c>
      <c r="N138" s="16" t="inlineStr">
        <is>
          <t>SRS v0.2 revision 2026-09-24</t>
        </is>
      </c>
      <c r="O138" s="16" t="inlineStr"/>
      <c r="P138" s="4">
        <f>","&amp;SUBSTITUTE(F138," ","")&amp;","</f>
        <v/>
      </c>
    </row>
    <row r="139" ht="48" customHeight="1">
      <c r="A139" s="17" t="inlineStr">
        <is>
          <t>DR-15</t>
        </is>
      </c>
      <c r="B139" s="9" t="inlineStr">
        <is>
          <t>DR</t>
        </is>
      </c>
      <c r="C139" s="9" t="inlineStr">
        <is>
          <t>DELIVERY</t>
        </is>
      </c>
      <c r="D139" s="17" t="inlineStr">
        <is>
          <t>The reference personas (Nusrat, Rafiq, Shirin, Jashim, Bullet) shall be used consistently in seed data, tests, README and demo. There shall be no user1/driver1 placeholders.</t>
        </is>
      </c>
      <c r="E139" s="9" t="inlineStr">
        <is>
          <t>M</t>
        </is>
      </c>
      <c r="F139" s="9" t="inlineStr">
        <is>
          <t>1, 16, 18</t>
        </is>
      </c>
      <c r="G139" s="9" t="inlineStr">
        <is>
          <t>11</t>
        </is>
      </c>
      <c r="H139" s="17" t="inlineStr">
        <is>
          <t>Search the repo for "user1" or "driver1": no results.</t>
        </is>
      </c>
      <c r="I139" s="9" t="inlineStr">
        <is>
          <t>I</t>
        </is>
      </c>
      <c r="J139" s="17" t="inlineStr">
        <is>
          <t>TC-37</t>
        </is>
      </c>
      <c r="K139" s="17" t="inlineStr">
        <is>
          <t>T-07</t>
        </is>
      </c>
      <c r="L139" s="17" t="inlineStr">
        <is>
          <t>feature/db-schema</t>
        </is>
      </c>
      <c r="M139" s="15" t="inlineStr">
        <is>
          <t>In Progress</t>
        </is>
      </c>
      <c r="N139" s="16" t="inlineStr">
        <is>
          <t>Personas in seed and test helpers — feature/db-schema</t>
        </is>
      </c>
      <c r="O139" s="16" t="n"/>
      <c r="P139" s="4">
        <f>","&amp;SUBSTITUTE(F139," ","")&amp;","</f>
        <v/>
      </c>
    </row>
    <row r="140" ht="33" customHeight="1">
      <c r="A140" s="13" t="inlineStr">
        <is>
          <t>DR-16</t>
        </is>
      </c>
      <c r="B140" s="14" t="inlineStr">
        <is>
          <t>DR</t>
        </is>
      </c>
      <c r="C140" s="14" t="inlineStr">
        <is>
          <t>DELIVERY</t>
        </is>
      </c>
      <c r="D140" s="13" t="inlineStr">
        <is>
          <t>The README shall document the concurrency approach now and what would change at scale.</t>
        </is>
      </c>
      <c r="E140" s="14" t="inlineStr">
        <is>
          <t>M</t>
        </is>
      </c>
      <c r="F140" s="14" t="inlineStr">
        <is>
          <t>12</t>
        </is>
      </c>
      <c r="G140" s="14" t="inlineStr">
        <is>
          <t>11</t>
        </is>
      </c>
      <c r="H140" s="13" t="inlineStr">
        <is>
          <t>Review (links to NFR-CON-03).</t>
        </is>
      </c>
      <c r="I140" s="14" t="inlineStr">
        <is>
          <t>I</t>
        </is>
      </c>
      <c r="J140" s="13" t="n"/>
      <c r="K140" s="13" t="inlineStr">
        <is>
          <t>T-16, T-24</t>
        </is>
      </c>
      <c r="L140" s="13" t="inlineStr">
        <is>
          <t>feature/tesla-pooling, pre-release</t>
        </is>
      </c>
      <c r="M140" s="15" t="inlineStr">
        <is>
          <t>Proposed</t>
        </is>
      </c>
      <c r="N140" s="16" t="n"/>
      <c r="O140" s="16" t="n"/>
      <c r="P140" s="4">
        <f>","&amp;SUBSTITUTE(F140," ","")&amp;","</f>
        <v/>
      </c>
    </row>
    <row r="141" ht="93" customHeight="1">
      <c r="A141" s="17" t="inlineStr">
        <is>
          <t>DR-17</t>
        </is>
      </c>
      <c r="B141" s="9" t="inlineStr">
        <is>
          <t>DR</t>
        </is>
      </c>
      <c r="C141" s="9" t="inlineStr">
        <is>
          <t>DELIVERY</t>
        </is>
      </c>
      <c r="D141" s="17" t="inlineStr">
        <is>
          <t>A "viral scale" section (1M passengers, 100k drivers) should reason about load balancing, horizontal scaling, indexing and read replicas, caching, geospatial search, queues and events, real-time delivery, rate limiting, idempotency, observability, DB contention, matching, retries, security and deployment, ideally with a diagram.</t>
        </is>
      </c>
      <c r="E141" s="9" t="inlineStr">
        <is>
          <t>C</t>
        </is>
      </c>
      <c r="F141" s="9" t="inlineStr">
        <is>
          <t>12</t>
        </is>
      </c>
      <c r="G141" s="9" t="inlineStr">
        <is>
          <t>11</t>
        </is>
      </c>
      <c r="H141" s="17" t="inlineStr">
        <is>
          <t>Section exists.</t>
        </is>
      </c>
      <c r="I141" s="9" t="inlineStr">
        <is>
          <t>I</t>
        </is>
      </c>
      <c r="J141" s="17" t="n"/>
      <c r="K141" s="17" t="inlineStr">
        <is>
          <t>T-26</t>
        </is>
      </c>
      <c r="L141" s="17" t="inlineStr">
        <is>
          <t>pre-release</t>
        </is>
      </c>
      <c r="M141" s="15" t="inlineStr">
        <is>
          <t>Proposed</t>
        </is>
      </c>
      <c r="N141" s="16" t="n"/>
      <c r="O141" s="16" t="n"/>
      <c r="P141" s="4">
        <f>","&amp;SUBSTITUTE(F141," ","")&amp;","</f>
        <v/>
      </c>
    </row>
    <row r="142" ht="33" customHeight="1">
      <c r="A142" s="13" t="inlineStr">
        <is>
          <t>DR-18</t>
        </is>
      </c>
      <c r="B142" s="14" t="inlineStr">
        <is>
          <t>DR</t>
        </is>
      </c>
      <c r="C142" s="14" t="inlineStr">
        <is>
          <t>DELIVERY</t>
        </is>
      </c>
      <c r="D142" s="13" t="inlineStr">
        <is>
          <t>This SRS and its traceability workbook shall be kept up to date when requirements or architecture change.</t>
        </is>
      </c>
      <c r="E142" s="14" t="inlineStr">
        <is>
          <t>S</t>
        </is>
      </c>
      <c r="F142" s="14" t="inlineStr">
        <is>
          <t>9</t>
        </is>
      </c>
      <c r="G142" s="14" t="inlineStr">
        <is>
          <t>11</t>
        </is>
      </c>
      <c r="H142" s="13" t="inlineStr">
        <is>
          <t>The revision history is updated.</t>
        </is>
      </c>
      <c r="I142" s="14" t="inlineStr">
        <is>
          <t>I</t>
        </is>
      </c>
      <c r="J142" s="13" t="n"/>
      <c r="K142" s="13" t="inlineStr">
        <is>
          <t>T-01</t>
        </is>
      </c>
      <c r="L142" s="13" t="inlineStr">
        <is>
          <t>feature/srs-docs</t>
        </is>
      </c>
      <c r="M142" s="15" t="inlineStr">
        <is>
          <t>In Progress</t>
        </is>
      </c>
      <c r="N142" s="16" t="inlineStr">
        <is>
          <t>SRS v0.2 revision 2026-09-24</t>
        </is>
      </c>
      <c r="O142" s="16" t="n"/>
      <c r="P142" s="4">
        <f>","&amp;SUBSTITUTE(F142," ","")&amp;","</f>
        <v/>
      </c>
    </row>
  </sheetData>
  <autoFilter ref="A1:O142"/>
  <conditionalFormatting sqref="M2:M337">
    <cfRule type="expression" priority="1" dxfId="2">
      <formula>$M2="Proposed"</formula>
    </cfRule>
    <cfRule type="expression" priority="2" dxfId="3">
      <formula>$M2="Approved"</formula>
    </cfRule>
    <cfRule type="expression" priority="3" dxfId="4">
      <formula>$M2="In Progress"</formula>
    </cfRule>
    <cfRule type="expression" priority="4" dxfId="5">
      <formula>$M2="Implemented"</formula>
    </cfRule>
    <cfRule type="expression" priority="5" dxfId="0">
      <formula>$M2="Verified"</formula>
    </cfRule>
    <cfRule type="expression" priority="6" dxfId="6">
      <formula>$M2="Deferred"</formula>
    </cfRule>
    <cfRule type="expression" priority="7" dxfId="7">
      <formula>$M2="Withdrawn"</formula>
    </cfRule>
  </conditionalFormatting>
  <dataValidations count="2">
    <dataValidation sqref="M2:M337" showDropDown="0" showInputMessage="0" showErrorMessage="1" allowBlank="1" errorTitle="Invalid value" error="Pick a value from the list." promptTitle="Allowed values" prompt="Proposed → Approved → In Progress → Implemented → Verified" type="list">
      <formula1>"Proposed,Approved,In Progress,Implemented,Verified,Deferred,Withdrawn"</formula1>
    </dataValidation>
    <dataValidation sqref="E2:E337" showDropDown="0" showInputMessage="0" showErrorMessage="1" allowBlank="1" errorTitle="Invalid value" error="Pick a value from the list." promptTitle="Allowed values" prompt="M=Must, S=Should, C=Could, W=Won't" type="list">
      <formula1>"M,S,C,W"</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70AD47"/>
    <outlinePr summaryBelow="1" summaryRight="1"/>
    <pageSetUpPr/>
  </sheetPr>
  <dimension ref="A1:K52"/>
  <sheetViews>
    <sheetView zoomScale="10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4" customWidth="1" min="2" max="2"/>
    <col width="24" customWidth="1" min="3" max="3"/>
    <col width="12" customWidth="1" min="4" max="4"/>
    <col width="16" customWidth="1" min="5" max="5"/>
    <col width="42" customWidth="1" min="6" max="6"/>
    <col width="46" customWidth="1" min="7" max="7"/>
    <col width="46" customWidth="1" min="8" max="8"/>
    <col width="12" customWidth="1" min="9" max="9"/>
    <col width="26" customWidth="1" min="10" max="10"/>
    <col width="12" customWidth="1" min="11" max="11"/>
  </cols>
  <sheetData>
    <row r="1" ht="30" customHeight="1">
      <c r="A1" s="7" t="inlineStr">
        <is>
          <t>Test ID</t>
        </is>
      </c>
      <c r="B1" s="7" t="inlineStr">
        <is>
          <t>Title</t>
        </is>
      </c>
      <c r="C1" s="7" t="inlineStr">
        <is>
          <t>Req IDs</t>
        </is>
      </c>
      <c r="D1" s="7" t="inlineStr">
        <is>
          <t>Type</t>
        </is>
      </c>
      <c r="E1" s="7" t="inlineStr">
        <is>
          <t>PRD §12 area</t>
        </is>
      </c>
      <c r="F1" s="7" t="inlineStr">
        <is>
          <t>Preconditions (reference personas)</t>
        </is>
      </c>
      <c r="G1" s="7" t="inlineStr">
        <is>
          <t>Steps</t>
        </is>
      </c>
      <c r="H1" s="7" t="inlineStr">
        <is>
          <t>Expected result</t>
        </is>
      </c>
      <c r="I1" s="7" t="inlineStr">
        <is>
          <t>Status</t>
        </is>
      </c>
      <c r="J1" s="7" t="inlineStr">
        <is>
          <t>Test file / evidence</t>
        </is>
      </c>
      <c r="K1" s="7" t="inlineStr">
        <is>
          <t>Last run</t>
        </is>
      </c>
    </row>
    <row r="2" ht="63" customHeight="1">
      <c r="A2" s="14" t="inlineStr">
        <is>
          <t>TC-01</t>
        </is>
      </c>
      <c r="B2" s="13" t="inlineStr">
        <is>
          <t>Bullet's capacity can never be exceeded</t>
        </is>
      </c>
      <c r="C2" s="13" t="inlineStr">
        <is>
          <t>FR-POOL-02, BR-01</t>
        </is>
      </c>
      <c r="D2" s="14" t="inlineStr">
        <is>
          <t>Integration</t>
        </is>
      </c>
      <c r="E2" s="14" t="inlineStr">
        <is>
          <t>#1 Capacity</t>
        </is>
      </c>
      <c r="F2" s="13" t="inlineStr">
        <is>
          <t>Jashim online in Banani; Bullet (3 seats) has an OPEN pool with 3 occupied seats; Shirin has a 1-seat REQUESTED ride. Second run: 2 seats occupied, a compatible 2-seat request.</t>
        </is>
      </c>
      <c r="G2" s="13" t="inlineStr">
        <is>
          <t>1) Jashim accepts Shirin's request. 2) Reset to 2 occupied; Jashim accepts the 2-seat request.</t>
        </is>
      </c>
      <c r="H2" s="13" t="inlineStr">
        <is>
          <t>Both accepts return 409 CAPACITY_EXCEEDED; occupied_seats unchanged; no pool_member row created; requests stay REQUESTED.</t>
        </is>
      </c>
      <c r="I2" s="15" t="inlineStr">
        <is>
          <t>Not Written</t>
        </is>
      </c>
      <c r="J2" s="16" t="inlineStr"/>
      <c r="K2" s="16" t="inlineStr"/>
    </row>
    <row r="3" ht="63" customHeight="1">
      <c r="A3" s="9" t="inlineStr">
        <is>
          <t>TC-02</t>
        </is>
      </c>
      <c r="B3" s="17" t="inlineStr">
        <is>
          <t>Invalid state transitions are rejected without side effects</t>
        </is>
      </c>
      <c r="C3" s="17" t="inlineStr">
        <is>
          <t>BR-06, FR-POOL-05</t>
        </is>
      </c>
      <c r="D3" s="9" t="inlineStr">
        <is>
          <t>Integration</t>
        </is>
      </c>
      <c r="E3" s="9" t="inlineStr">
        <is>
          <t>#2 Transitions</t>
        </is>
      </c>
      <c r="F3" s="17" t="inlineStr">
        <is>
          <t>Pool P OPEN with Nusrat MATCHED; a second pool P2 STARTED with Rafiq STARTED.</t>
        </is>
      </c>
      <c r="G3" s="17" t="inlineStr">
        <is>
          <t>1) POST /pools/P/start. 2) Complete Nusrat while MATCHED. 3) Nusrat cancels after P2-style STARTED. 4) Accept a request into STARTED P2. 5) Arrive on a COMPLETED pool.</t>
        </is>
      </c>
      <c r="H3" s="17" t="inlineStr">
        <is>
          <t>Each returns 409 (INVALID_STATE_TRANSITION / POOL_NOT_OPEN); statuses, seats, fares and status_history unchanged.</t>
        </is>
      </c>
      <c r="I3" s="15" t="inlineStr">
        <is>
          <t>Written</t>
        </is>
      </c>
      <c r="J3" s="16" t="inlineStr">
        <is>
          <t>Ride level in test/rides/cancel.test.ts and test/domain/state-machine.test.ts; pool moves later</t>
        </is>
      </c>
      <c r="K3" s="16" t="inlineStr">
        <is>
          <t>2026-09-24 partial</t>
        </is>
      </c>
    </row>
    <row r="4" ht="48" customHeight="1">
      <c r="A4" s="14" t="inlineStr">
        <is>
          <t>TC-03</t>
        </is>
      </c>
      <c r="B4" s="13" t="inlineStr">
        <is>
          <t>Nusrat's and Rafiq's pooled fares calculate correctly</t>
        </is>
      </c>
      <c r="C4" s="13" t="inlineStr">
        <is>
          <t>FR-FARE-01, BR-09, BR-10, BR-11, BR-13</t>
        </is>
      </c>
      <c r="D4" s="14" t="inlineStr">
        <is>
          <t>Unit</t>
        </is>
      </c>
      <c r="E4" s="14" t="inlineStr">
        <is>
          <t>#3 Fares</t>
        </is>
      </c>
      <c r="F4" s="13" t="inlineStr">
        <is>
          <t>Default rates: base 3000, per km 1500, discount 2000 bps.</t>
        </is>
      </c>
      <c r="G4" s="13" t="inlineStr">
        <is>
          <t>Call fare(distance=3000m, seats=1, pooled=true/false) and fare(2500m, 1, true/false).</t>
        </is>
      </c>
      <c r="H4" s="13" t="inlineStr">
        <is>
          <t>Nusrat pooled 6600 / solo 7500; Rafiq pooled 6000 / solo 6750 paisa; breakdown components add up to total.</t>
        </is>
      </c>
      <c r="I4" s="15" t="inlineStr">
        <is>
          <t>Passing</t>
        </is>
      </c>
      <c r="J4" s="16" t="inlineStr">
        <is>
          <t>apps/api/test/domain/fare.test.ts</t>
        </is>
      </c>
      <c r="K4" s="16" t="inlineStr">
        <is>
          <t>2026-09-24 passing (local + Docker)</t>
        </is>
      </c>
    </row>
    <row r="5" ht="48" customHeight="1">
      <c r="A5" s="9" t="inlineStr">
        <is>
          <t>TC-04</t>
        </is>
      </c>
      <c r="B5" s="17" t="inlineStr">
        <is>
          <t>Users can't modify or view another user's ride</t>
        </is>
      </c>
      <c r="C5" s="17" t="inlineStr">
        <is>
          <t>NFR-SEC-03, FR-AUTH-05</t>
        </is>
      </c>
      <c r="D5" s="9" t="inlineStr">
        <is>
          <t>Integration</t>
        </is>
      </c>
      <c r="E5" s="9" t="inlineStr">
        <is>
          <t>#4 Authorization</t>
        </is>
      </c>
      <c r="F5" s="17" t="inlineStr">
        <is>
          <t>Nusrat has an active ride R; Jashim owns pool P; Kamal is online.</t>
        </is>
      </c>
      <c r="G5" s="17" t="inlineStr">
        <is>
          <t>1) Rafiq GET/cancel R. 2) Nusrat calls POST /driver/requests/:id/accept. 3) Kamal POST /pools/P/arrive, /start, member complete.</t>
        </is>
      </c>
      <c r="H5" s="17" t="inlineStr">
        <is>
          <t>1) 404 NOT_FOUND, R unchanged. 2) 403 FORBIDDEN. 3) 404/403 and P unchanged.</t>
        </is>
      </c>
      <c r="I5" s="15" t="inlineStr">
        <is>
          <t>Written</t>
        </is>
      </c>
      <c r="J5" s="16" t="inlineStr">
        <is>
          <t>Roles in test/auth/access.test.ts; ride ownership in test/rides/read.test.ts and cancel.test.ts; pools later</t>
        </is>
      </c>
      <c r="K5" s="16" t="inlineStr">
        <is>
          <t>2026-09-24 partial</t>
        </is>
      </c>
    </row>
    <row r="6" ht="48" customHeight="1">
      <c r="A6" s="14" t="inlineStr">
        <is>
          <t>TC-05</t>
        </is>
      </c>
      <c r="B6" s="13" t="inlineStr">
        <is>
          <t>Cancellation rules hold</t>
        </is>
      </c>
      <c r="C6" s="13" t="inlineStr">
        <is>
          <t>BR-07, FR-PAX-08</t>
        </is>
      </c>
      <c r="D6" s="14" t="inlineStr">
        <is>
          <t>Integration</t>
        </is>
      </c>
      <c r="E6" s="14" t="inlineStr">
        <is>
          <t>#5 Cancellation</t>
        </is>
      </c>
      <c r="F6" s="13" t="inlineStr">
        <is>
          <t>Rides for Nusrat in REQUESTED, MATCHED, DRIVER_ARRIVED and STARTED (separate setups).</t>
        </is>
      </c>
      <c r="G6" s="13" t="inlineStr">
        <is>
          <t>Nusrat cancels in each state.</t>
        </is>
      </c>
      <c r="H6" s="13" t="inlineStr">
        <is>
          <t>REQUESTED/MATCHED: CANCELLED, no charge. DRIVER_ARRIVED: CANCELLED with 2000-paisa fee. STARTED: 409 INVALID_STATE_TRANSITION.</t>
        </is>
      </c>
      <c r="I6" s="15" t="inlineStr">
        <is>
          <t>Written</t>
        </is>
      </c>
      <c r="J6" s="16" t="inlineStr">
        <is>
          <t>REQUESTED and STARTED in test/rides/cancel.test.ts, policy in test/domain/cancellation.test.ts; MATCHED and DRIVER_ARRIVED later</t>
        </is>
      </c>
      <c r="K6" s="16" t="inlineStr">
        <is>
          <t>2026-09-24 partial</t>
        </is>
      </c>
    </row>
    <row r="7" ht="63" customHeight="1">
      <c r="A7" s="9" t="inlineStr">
        <is>
          <t>TC-06</t>
        </is>
      </c>
      <c r="B7" s="17" t="inlineStr">
        <is>
          <t>Concurrent claims can't corrupt pool capacity (last seat)</t>
        </is>
      </c>
      <c r="C7" s="17" t="inlineStr">
        <is>
          <t>NFR-CON-01, NFR-CON-02, NFR-CON-03, FR-POOL-09</t>
        </is>
      </c>
      <c r="D7" s="9" t="inlineStr">
        <is>
          <t>Integration</t>
        </is>
      </c>
      <c r="E7" s="9" t="inlineStr">
        <is>
          <t>#6 Concurrency</t>
        </is>
      </c>
      <c r="F7" s="17" t="inlineStr">
        <is>
          <t>Bullet has 2/3 seats occupied; Nusrat and Shirin each have a compatible 1-seat REQUESTED ride. Second scenario: Jashim and Kamal both online in Banani, one open request.</t>
        </is>
      </c>
      <c r="G7" s="17" t="inlineStr">
        <is>
          <t>1) Fire accept(Nusrat) and accept(Shirin) in parallel (Promise.all), repeat ≥20 times with fresh data. 2) Jashim and Kamal accept the same request in parallel.</t>
        </is>
      </c>
      <c r="H7" s="17" t="inlineStr">
        <is>
          <t>Every run: exactly one 200 and one 409; occupied_seats = 3 max; no CHECK violation. Scenario 2: one success, request in exactly one pool.</t>
        </is>
      </c>
      <c r="I7" s="15" t="inlineStr">
        <is>
          <t>Not Written</t>
        </is>
      </c>
      <c r="J7" s="16" t="inlineStr"/>
      <c r="K7" s="16" t="inlineStr"/>
    </row>
    <row r="8" ht="33" customHeight="1">
      <c r="A8" s="14" t="inlineStr">
        <is>
          <t>TC-07</t>
        </is>
      </c>
      <c r="B8" s="13" t="inlineStr">
        <is>
          <t>Database CHECK prevents over-capacity even bypassing the service</t>
        </is>
      </c>
      <c r="C8" s="13" t="inlineStr">
        <is>
          <t>FR-POOL-02, NFR-CON-01</t>
        </is>
      </c>
      <c r="D8" s="14" t="inlineStr">
        <is>
          <t>Integration</t>
        </is>
      </c>
      <c r="E8" s="14" t="inlineStr">
        <is>
          <t>#1 Capacity</t>
        </is>
      </c>
      <c r="F8" s="13" t="inlineStr">
        <is>
          <t>Pool for Bullet with occupied_seats = 3.</t>
        </is>
      </c>
      <c r="G8" s="13" t="inlineStr">
        <is>
          <t>Direct SQL update occupied_seats = 4.</t>
        </is>
      </c>
      <c r="H8" s="13" t="inlineStr">
        <is>
          <t>Database rejects with CHECK constraint violation.</t>
        </is>
      </c>
      <c r="I8" s="15" t="inlineStr">
        <is>
          <t>Passing</t>
        </is>
      </c>
      <c r="J8" s="16" t="inlineStr">
        <is>
          <t>apps/api/test/db/constraints.test.ts</t>
        </is>
      </c>
      <c r="K8" s="16" t="inlineStr">
        <is>
          <t>2026-09-24 passing (local + Docker)</t>
        </is>
      </c>
    </row>
    <row r="9" ht="33" customHeight="1">
      <c r="A9" s="9" t="inlineStr">
        <is>
          <t>TC-08</t>
        </is>
      </c>
      <c r="B9" s="17" t="inlineStr">
        <is>
          <t>Transition table is exhaustive (unit)</t>
        </is>
      </c>
      <c r="C9" s="17" t="inlineStr">
        <is>
          <t>BR-06, NFR-MNT-02</t>
        </is>
      </c>
      <c r="D9" s="9" t="inlineStr">
        <is>
          <t>Unit</t>
        </is>
      </c>
      <c r="E9" s="9" t="inlineStr">
        <is>
          <t>#2 Transitions</t>
        </is>
      </c>
      <c r="F9" s="17" t="inlineStr">
        <is>
          <t>Pure canTransition(entity, from, to, actorRole).</t>
        </is>
      </c>
      <c r="G9" s="17" t="inlineStr">
        <is>
          <t>Iterate all (from, to, actor) combinations for ride request and pool.</t>
        </is>
      </c>
      <c r="H9" s="17" t="inlineStr">
        <is>
          <t>Only RT-01…RT-11 / PT-01…PT-06 are allowed; everything else is rejected.</t>
        </is>
      </c>
      <c r="I9" s="15" t="inlineStr">
        <is>
          <t>Passing</t>
        </is>
      </c>
      <c r="J9" s="16" t="inlineStr">
        <is>
          <t>apps/api/test/domain/state-machine.test.ts</t>
        </is>
      </c>
      <c r="K9" s="16" t="inlineStr">
        <is>
          <t>2026-09-24 passing (local + Docker)</t>
        </is>
      </c>
    </row>
    <row r="10" ht="33" customHeight="1">
      <c r="A10" s="14" t="inlineStr">
        <is>
          <t>TC-09</t>
        </is>
      </c>
      <c r="B10" s="13" t="inlineStr">
        <is>
          <t>Fare locks at trip start; discount only if actually shared</t>
        </is>
      </c>
      <c r="C10" s="13" t="inlineStr">
        <is>
          <t>BR-12, FR-FARE-03</t>
        </is>
      </c>
      <c r="D10" s="14" t="inlineStr">
        <is>
          <t>Integration</t>
        </is>
      </c>
      <c r="E10" s="14" t="inlineStr">
        <is>
          <t>#3 Fares</t>
        </is>
      </c>
      <c r="F10" s="13" t="inlineStr">
        <is>
          <t>Nusrat and Rafiq MATCHED in Bullet's pool.</t>
        </is>
      </c>
      <c r="G10" s="13" t="inlineStr">
        <is>
          <t>A) Arrive, start, check fares. B) Rafiq cancels before start, then arrive and start.</t>
        </is>
      </c>
      <c r="H10" s="13" t="inlineStr">
        <is>
          <t>A) Nusrat 6600, Rafiq 6000, pooled=true, rates snapshot stored. B) Nusrat 7500, pooled=false.</t>
        </is>
      </c>
      <c r="I10" s="15" t="inlineStr">
        <is>
          <t>Not Written</t>
        </is>
      </c>
      <c r="J10" s="16" t="inlineStr"/>
      <c r="K10" s="16" t="inlineStr"/>
    </row>
    <row r="11" ht="33" customHeight="1">
      <c r="A11" s="9" t="inlineStr">
        <is>
          <t>TC-10</t>
        </is>
      </c>
      <c r="B11" s="17" t="inlineStr">
        <is>
          <t>Multi-seat booking by one passenger is not pooling</t>
        </is>
      </c>
      <c r="C11" s="17" t="inlineStr">
        <is>
          <t>BR-12, BR-10</t>
        </is>
      </c>
      <c r="D11" s="9" t="inlineStr">
        <is>
          <t>Unit</t>
        </is>
      </c>
      <c r="E11" s="9" t="inlineStr">
        <is>
          <t>#3 Fares</t>
        </is>
      </c>
      <c r="F11" s="17" t="inlineStr">
        <is>
          <t>Nusrat requests 2 seats Banani→Mohakhali alone.</t>
        </is>
      </c>
      <c r="G11" s="17" t="inlineStr">
        <is>
          <t>Start trip and compute fare.</t>
        </is>
      </c>
      <c r="H11" s="17" t="inlineStr">
        <is>
          <t>15000 paisa (7500 × 2), pooled=false.</t>
        </is>
      </c>
      <c r="I11" s="15" t="inlineStr">
        <is>
          <t>Passing</t>
        </is>
      </c>
      <c r="J11" s="16" t="inlineStr">
        <is>
          <t>apps/api/test/domain/fare.test.ts (fare level); trip-start check with feature/driver-flow</t>
        </is>
      </c>
      <c r="K11" s="16" t="inlineStr">
        <is>
          <t>2026-09-24 passing (local + Docker)</t>
        </is>
      </c>
    </row>
    <row r="12" ht="33" customHeight="1">
      <c r="A12" s="14" t="inlineStr">
        <is>
          <t>TC-11</t>
        </is>
      </c>
      <c r="B12" s="13" t="inlineStr">
        <is>
          <t>Locked fare is immutable after rate change</t>
        </is>
      </c>
      <c r="C12" s="13" t="inlineStr">
        <is>
          <t>FR-FARE-03</t>
        </is>
      </c>
      <c r="D12" s="14" t="inlineStr">
        <is>
          <t>Integration</t>
        </is>
      </c>
      <c r="E12" s="14" t="inlineStr">
        <is>
          <t>#3 Fares</t>
        </is>
      </c>
      <c r="F12" s="13" t="inlineStr">
        <is>
          <t>Nusrat's fare locked at 6600.</t>
        </is>
      </c>
      <c r="G12" s="13" t="inlineStr">
        <is>
          <t>Change PER_KM_PAISA config to 2000 and re-read ride.</t>
        </is>
      </c>
      <c r="H12" s="13" t="inlineStr">
        <is>
          <t>Locked fare still 6600 with original rate snapshot.</t>
        </is>
      </c>
      <c r="I12" s="15" t="inlineStr">
        <is>
          <t>Not Written</t>
        </is>
      </c>
      <c r="J12" s="16" t="inlineStr"/>
      <c r="K12" s="16" t="inlineStr"/>
    </row>
    <row r="13" ht="18" customHeight="1">
      <c r="A13" s="9" t="inlineStr">
        <is>
          <t>TC-12</t>
        </is>
      </c>
      <c r="B13" s="17" t="inlineStr">
        <is>
          <t>Shirin's fares and zone distance lookup</t>
        </is>
      </c>
      <c r="C13" s="17" t="inlineStr">
        <is>
          <t>BR-09, BR-10, FR-FARE-01</t>
        </is>
      </c>
      <c r="D13" s="9" t="inlineStr">
        <is>
          <t>Unit</t>
        </is>
      </c>
      <c r="E13" s="9" t="inlineStr">
        <is>
          <t>#3 Fares</t>
        </is>
      </c>
      <c r="F13" s="17" t="inlineStr">
        <is>
          <t>Zone table seeded.</t>
        </is>
      </c>
      <c r="G13" s="17" t="inlineStr">
        <is>
          <t>fare(Banani→Tejgaon, 1 seat, pooled / solo).</t>
        </is>
      </c>
      <c r="H13" s="17" t="inlineStr">
        <is>
          <t>Distance 5000 m; pooled 9000, solo 10500.</t>
        </is>
      </c>
      <c r="I13" s="15" t="inlineStr">
        <is>
          <t>Passing</t>
        </is>
      </c>
      <c r="J13" s="16" t="inlineStr">
        <is>
          <t>apps/api/test/domain/fare.test.ts, test/zones/zones.test.ts, test/fares/estimate.test.ts</t>
        </is>
      </c>
      <c r="K13" s="16" t="inlineStr">
        <is>
          <t>2026-09-24 passing (local + Docker)</t>
        </is>
      </c>
    </row>
    <row r="14" ht="33" customHeight="1">
      <c r="A14" s="14" t="inlineStr">
        <is>
          <t>TC-13</t>
        </is>
      </c>
      <c r="B14" s="13" t="inlineStr">
        <is>
          <t>Passenger never sees co-rider personal data or fares</t>
        </is>
      </c>
      <c r="C14" s="13" t="inlineStr">
        <is>
          <t>FR-PAX-06, NFR-SEC-03</t>
        </is>
      </c>
      <c r="D14" s="14" t="inlineStr">
        <is>
          <t>Integration</t>
        </is>
      </c>
      <c r="E14" s="14" t="inlineStr">
        <is>
          <t>#4 Authorization</t>
        </is>
      </c>
      <c r="F14" s="13" t="inlineStr">
        <is>
          <t>Nusrat and Rafiq in the same pool.</t>
        </is>
      </c>
      <c r="G14" s="13" t="inlineStr">
        <is>
          <t>Nusrat GET /rides/:id and /rides?scope=active.</t>
        </is>
      </c>
      <c r="H14" s="13" t="inlineStr">
        <is>
          <t>Response shows shared=true, coRiders=1, own fare only; no Rafiq name, destination or fare in the payload.</t>
        </is>
      </c>
      <c r="I14" s="15" t="inlineStr">
        <is>
          <t>Not Written</t>
        </is>
      </c>
      <c r="J14" s="16" t="inlineStr"/>
      <c r="K14" s="16" t="inlineStr"/>
    </row>
    <row r="15" ht="48" customHeight="1">
      <c r="A15" s="9" t="inlineStr">
        <is>
          <t>TC-14</t>
        </is>
      </c>
      <c r="B15" s="17" t="inlineStr">
        <is>
          <t>Cancellation fee recorded and debited</t>
        </is>
      </c>
      <c r="C15" s="17" t="inlineStr">
        <is>
          <t>FR-FARE-05, FR-PAY-05</t>
        </is>
      </c>
      <c r="D15" s="9" t="inlineStr">
        <is>
          <t>Integration</t>
        </is>
      </c>
      <c r="E15" s="9" t="inlineStr">
        <is>
          <t>#5 Cancellation</t>
        </is>
      </c>
      <c r="F15" s="17" t="inlineStr">
        <is>
          <t>Nusrat (TeslaPay) and Rafiq (Cash) in DRIVER_ARRIVED.</t>
        </is>
      </c>
      <c r="G15" s="17" t="inlineStr">
        <is>
          <t>Both cancel.</t>
        </is>
      </c>
      <c r="H15" s="17" t="inlineStr">
        <is>
          <t>Nusrat: CANCELLATION_FEE charge 2000 + wallet ledger −2000. Rafiq: charge 2000 with payment status UNPAID.</t>
        </is>
      </c>
      <c r="I15" s="15" t="inlineStr">
        <is>
          <t>Not Written</t>
        </is>
      </c>
      <c r="J15" s="16" t="inlineStr"/>
      <c r="K15" s="16" t="inlineStr"/>
    </row>
    <row r="16" ht="33" customHeight="1">
      <c r="A16" s="14" t="inlineStr">
        <is>
          <t>TC-15</t>
        </is>
      </c>
      <c r="B16" s="13" t="inlineStr">
        <is>
          <t>Driver cancels pool before start; rejected after start</t>
        </is>
      </c>
      <c r="C16" s="13" t="inlineStr">
        <is>
          <t>FR-DRV-11, BR-07</t>
        </is>
      </c>
      <c r="D16" s="14" t="inlineStr">
        <is>
          <t>Integration</t>
        </is>
      </c>
      <c r="E16" s="14" t="inlineStr">
        <is>
          <t>#5 Cancellation</t>
        </is>
      </c>
      <c r="F16" s="13" t="inlineStr">
        <is>
          <t>Pool with Nusrat and Rafiq in MATCHED; another pool STARTED.</t>
        </is>
      </c>
      <c r="G16" s="13" t="inlineStr">
        <is>
          <t>Jashim cancels the first pool; then tries to cancel the STARTED pool.</t>
        </is>
      </c>
      <c r="H16" s="13" t="inlineStr">
        <is>
          <t>First: pool CANCELLED, Nusrat &amp; Rafiq back to REQUESTED, no charges. Second: 409.</t>
        </is>
      </c>
      <c r="I16" s="15" t="inlineStr">
        <is>
          <t>Not Written</t>
        </is>
      </c>
      <c r="J16" s="16" t="inlineStr"/>
      <c r="K16" s="16" t="inlineStr"/>
    </row>
    <row r="17" ht="48" customHeight="1">
      <c r="A17" s="9" t="inlineStr">
        <is>
          <t>TC-16</t>
        </is>
      </c>
      <c r="B17" s="17" t="inlineStr">
        <is>
          <t>Seats freed on cancel; pool auto-cancels when empty</t>
        </is>
      </c>
      <c r="C17" s="17" t="inlineStr">
        <is>
          <t>FR-POOL-06, FR-POOL-07</t>
        </is>
      </c>
      <c r="D17" s="9" t="inlineStr">
        <is>
          <t>Integration</t>
        </is>
      </c>
      <c r="E17" s="9" t="inlineStr">
        <is>
          <t>#1 Capacity</t>
        </is>
      </c>
      <c r="F17" s="17" t="inlineStr">
        <is>
          <t>Pool with Nusrat and Rafiq (2/3).</t>
        </is>
      </c>
      <c r="G17" s="17" t="inlineStr">
        <is>
          <t>Rafiq cancels; then Nusrat cancels.</t>
        </is>
      </c>
      <c r="H17" s="17" t="inlineStr">
        <is>
          <t>After Rafiq: occupied 1. After Nusrat: pool CANCELLED (reason ALL_MEMBERS_CANCELLED); Jashim free to accept.</t>
        </is>
      </c>
      <c r="I17" s="15" t="inlineStr">
        <is>
          <t>Not Written</t>
        </is>
      </c>
      <c r="J17" s="16" t="inlineStr"/>
      <c r="K17" s="16" t="inlineStr"/>
    </row>
    <row r="18" ht="48" customHeight="1">
      <c r="A18" s="14" t="inlineStr">
        <is>
          <t>TC-17</t>
        </is>
      </c>
      <c r="B18" s="13" t="inlineStr">
        <is>
          <t>Concurrent passenger cancel vs driver accept</t>
        </is>
      </c>
      <c r="C18" s="13" t="inlineStr">
        <is>
          <t>NFR-CON-02</t>
        </is>
      </c>
      <c r="D18" s="14" t="inlineStr">
        <is>
          <t>Integration</t>
        </is>
      </c>
      <c r="E18" s="14" t="inlineStr">
        <is>
          <t>#6 Concurrency</t>
        </is>
      </c>
      <c r="F18" s="13" t="inlineStr">
        <is>
          <t>Shirin REQUESTED; Jashim OPEN pool compatible.</t>
        </is>
      </c>
      <c r="G18" s="13" t="inlineStr">
        <is>
          <t>Run Shirin cancel and Jashim accept in parallel, ≥20 times.</t>
        </is>
      </c>
      <c r="H18" s="13" t="inlineStr">
        <is>
          <t>Exactly one wins; final state is either CANCELLED with no membership or MATCHED with membership — never both.</t>
        </is>
      </c>
      <c r="I18" s="15" t="inlineStr">
        <is>
          <t>Not Written</t>
        </is>
      </c>
      <c r="J18" s="16" t="inlineStr"/>
      <c r="K18" s="16" t="inlineStr"/>
    </row>
    <row r="19" ht="48" customHeight="1">
      <c r="A19" s="9" t="inlineStr">
        <is>
          <t>TC-18</t>
        </is>
      </c>
      <c r="B19" s="17" t="inlineStr">
        <is>
          <t>One active request per passenger (incl. double submit / retry)</t>
        </is>
      </c>
      <c r="C19" s="17" t="inlineStr">
        <is>
          <t>FR-PAX-04, BR-05, NFR-CON-04, NFR-CON-06</t>
        </is>
      </c>
      <c r="D19" s="9" t="inlineStr">
        <is>
          <t>Integration</t>
        </is>
      </c>
      <c r="E19" s="9" t="inlineStr">
        <is>
          <t>#6 Concurrency</t>
        </is>
      </c>
      <c r="F19" s="17" t="inlineStr">
        <is>
          <t>Nusrat has no active ride.</t>
        </is>
      </c>
      <c r="G19" s="17" t="inlineStr">
        <is>
          <t>Submit two ride requests in parallel; then a third sequentially; then retry the first POST with the same Idempotency-Key (if implemented).</t>
        </is>
      </c>
      <c r="H19" s="17" t="inlineStr">
        <is>
          <t>Exactly one created; others 409 ACTIVE_REQUEST_EXISTS; idempotent retry returns the original request.</t>
        </is>
      </c>
      <c r="I19" s="15" t="inlineStr">
        <is>
          <t>Passing</t>
        </is>
      </c>
      <c r="J19" s="16" t="inlineStr">
        <is>
          <t>apps/api/test/rides/request.test.ts (no Idempotency-Key: retries rely on the unique index)</t>
        </is>
      </c>
      <c r="K19" s="16" t="inlineStr">
        <is>
          <t>2026-09-24 passing (local + Docker)</t>
        </is>
      </c>
    </row>
    <row r="20" ht="33" customHeight="1">
      <c r="A20" s="14" t="inlineStr">
        <is>
          <t>TC-19</t>
        </is>
      </c>
      <c r="B20" s="13" t="inlineStr">
        <is>
          <t>One active pool per driver</t>
        </is>
      </c>
      <c r="C20" s="13" t="inlineStr">
        <is>
          <t>BR-04, NFR-CON-04</t>
        </is>
      </c>
      <c r="D20" s="14" t="inlineStr">
        <is>
          <t>Integration</t>
        </is>
      </c>
      <c r="E20" s="14" t="inlineStr">
        <is>
          <t>#1 Capacity</t>
        </is>
      </c>
      <c r="F20" s="13" t="inlineStr">
        <is>
          <t>Jashim has an OPEN pool with a private (non-opt-in) request.</t>
        </is>
      </c>
      <c r="G20" s="13" t="inlineStr">
        <is>
          <t>Jashim accepts an unrelated request.</t>
        </is>
      </c>
      <c r="H20" s="13" t="inlineStr">
        <is>
          <t>422 NOT_COMPATIBLE / 409; no second pool row for Jashim.</t>
        </is>
      </c>
      <c r="I20" s="15" t="inlineStr">
        <is>
          <t>Not Written</t>
        </is>
      </c>
      <c r="J20" s="16" t="inlineStr"/>
      <c r="K20" s="16" t="inlineStr"/>
    </row>
    <row r="21" ht="48" customHeight="1">
      <c r="A21" s="9" t="inlineStr">
        <is>
          <t>TC-20</t>
        </is>
      </c>
      <c r="B21" s="17" t="inlineStr">
        <is>
          <t>Matching rule: compatible vs incompatible requests</t>
        </is>
      </c>
      <c r="C21" s="17" t="inlineStr">
        <is>
          <t>BR-02, BR-03, BR-08, FR-POOL-03, FR-POOL-04</t>
        </is>
      </c>
      <c r="D21" s="9" t="inlineStr">
        <is>
          <t>Unit</t>
        </is>
      </c>
      <c r="E21" s="9" t="inlineStr">
        <is>
          <t>Matching (PRD §4)</t>
        </is>
      </c>
      <c r="F21" s="17" t="inlineStr">
        <is>
          <t>Pool P from Banani with Nusrat → Mohakhali (opt-in).</t>
        </is>
      </c>
      <c r="G21" s="17" t="inlineStr">
        <is>
          <t>Check isCompatible for: Rafiq→Gulshan 1; Shirin→Tejgaon; Banani→Uttara; Gulshan 1→Mohakhali pickup; Rafiq opt-in=false; request 11 min after P created.</t>
        </is>
      </c>
      <c r="H21" s="17" t="inlineStr">
        <is>
          <t>Compatible: Rafiq, Shirin. Not compatible: Uttara, different pickup, opt-out, &gt;10 min. API accept of an incompatible one returns 422.</t>
        </is>
      </c>
      <c r="I21" s="15" t="inlineStr">
        <is>
          <t>Not Written</t>
        </is>
      </c>
      <c r="J21" s="16" t="inlineStr"/>
      <c r="K21" s="16" t="inlineStr"/>
    </row>
    <row r="22" ht="33" customHeight="1">
      <c r="A22" s="14" t="inlineStr">
        <is>
          <t>TC-21</t>
        </is>
      </c>
      <c r="B22" s="13" t="inlineStr">
        <is>
          <t>Members can join only while pool OPEN</t>
        </is>
      </c>
      <c r="C22" s="13" t="inlineStr">
        <is>
          <t>FR-POOL-05</t>
        </is>
      </c>
      <c r="D22" s="14" t="inlineStr">
        <is>
          <t>Integration</t>
        </is>
      </c>
      <c r="E22" s="14" t="inlineStr">
        <is>
          <t>#2 Transitions</t>
        </is>
      </c>
      <c r="F22" s="13" t="inlineStr">
        <is>
          <t>Pool DRIVER_ARRIVED with Nusrat; Rafiq REQUESTED compatible.</t>
        </is>
      </c>
      <c r="G22" s="13" t="inlineStr">
        <is>
          <t>Jashim accepts Rafiq.</t>
        </is>
      </c>
      <c r="H22" s="13" t="inlineStr">
        <is>
          <t>409 POOL_NOT_OPEN.</t>
        </is>
      </c>
      <c r="I22" s="15" t="inlineStr">
        <is>
          <t>Not Written</t>
        </is>
      </c>
      <c r="J22" s="16" t="inlineStr"/>
      <c r="K22" s="16" t="inlineStr"/>
    </row>
    <row r="23" ht="33" customHeight="1">
      <c r="A23" s="9" t="inlineStr">
        <is>
          <t>TC-22</t>
        </is>
      </c>
      <c r="B23" s="17" t="inlineStr">
        <is>
          <t>Driver availability rules</t>
        </is>
      </c>
      <c r="C23" s="17" t="inlineStr">
        <is>
          <t>FR-DRV-02, FR-DRV-03</t>
        </is>
      </c>
      <c r="D23" s="9" t="inlineStr">
        <is>
          <t>Integration</t>
        </is>
      </c>
      <c r="E23" s="9" t="inlineStr">
        <is>
          <t>Driver flow</t>
        </is>
      </c>
      <c r="F23" s="17" t="inlineStr">
        <is>
          <t>Jashim offline; later with active pool.</t>
        </is>
      </c>
      <c r="G23" s="17" t="inlineStr">
        <is>
          <t>Go online in Banani; go offline with active pool; go offline after completion.</t>
        </is>
      </c>
      <c r="H23" s="17" t="inlineStr">
        <is>
          <t>Online OK and audited; offline with active pool 409 ACTIVE_POOL_EXISTS; offline after completion OK.</t>
        </is>
      </c>
      <c r="I23" s="15" t="inlineStr">
        <is>
          <t>Not Written</t>
        </is>
      </c>
      <c r="J23" s="16" t="inlineStr"/>
      <c r="K23" s="16" t="inlineStr"/>
    </row>
    <row r="24" ht="33" customHeight="1">
      <c r="A24" s="14" t="inlineStr">
        <is>
          <t>TC-23</t>
        </is>
      </c>
      <c r="B24" s="13" t="inlineStr">
        <is>
          <t>Relevant request feed for Jashim</t>
        </is>
      </c>
      <c r="C24" s="13" t="inlineStr">
        <is>
          <t>FR-DRV-04</t>
        </is>
      </c>
      <c r="D24" s="14" t="inlineStr">
        <is>
          <t>Integration</t>
        </is>
      </c>
      <c r="E24" s="14" t="inlineStr">
        <is>
          <t>Driver flow</t>
        </is>
      </c>
      <c r="F24" s="13" t="inlineStr">
        <is>
          <t>Requests: Nusrat (BAN→MHK), Rafiq (BAN→GL1), X (BAN→UTR), Y (GL1→MHK). Jashim online in Banani.</t>
        </is>
      </c>
      <c r="G24" s="13" t="inlineStr">
        <is>
          <t>GET /driver/requests before and after accepting Nusrat; also while offline.</t>
        </is>
      </c>
      <c r="H24" s="13" t="inlineStr">
        <is>
          <t>Before: Nusrat, Rafiq, X (not Y). After: Rafiq only (+ Shirin if present). Offline: 409 DRIVER_OFFLINE.</t>
        </is>
      </c>
      <c r="I24" s="15" t="inlineStr">
        <is>
          <t>Not Written</t>
        </is>
      </c>
      <c r="J24" s="16" t="inlineStr"/>
      <c r="K24" s="16" t="inlineStr"/>
    </row>
    <row r="25" ht="33" customHeight="1">
      <c r="A25" s="9" t="inlineStr">
        <is>
          <t>TC-24</t>
        </is>
      </c>
      <c r="B25" s="17" t="inlineStr">
        <is>
          <t>Expired requests can't be accepted</t>
        </is>
      </c>
      <c r="C25" s="17" t="inlineStr">
        <is>
          <t>NFR-REL-04, FR-PAX-03</t>
        </is>
      </c>
      <c r="D25" s="9" t="inlineStr">
        <is>
          <t>Integration</t>
        </is>
      </c>
      <c r="E25" s="9" t="inlineStr">
        <is>
          <t>#2 Transitions</t>
        </is>
      </c>
      <c r="F25" s="17" t="inlineStr">
        <is>
          <t>Shirin's request requested_at = now − 16 min, sweeper not run.</t>
        </is>
      </c>
      <c r="G25" s="17" t="inlineStr">
        <is>
          <t>Jashim accepts; Shirin reads her ride.</t>
        </is>
      </c>
      <c r="H25" s="17" t="inlineStr">
        <is>
          <t>Accept 409; ride shows EXPIRED.</t>
        </is>
      </c>
      <c r="I25" s="15" t="inlineStr">
        <is>
          <t>Written</t>
        </is>
      </c>
      <c r="J25" s="16" t="inlineStr">
        <is>
          <t>Read side in test/rides/read.test.ts; the accept part with feature/tesla-pooling</t>
        </is>
      </c>
      <c r="K25" s="16" t="inlineStr">
        <is>
          <t>2026-09-24 partial</t>
        </is>
      </c>
    </row>
    <row r="26" ht="63" customHeight="1">
      <c r="A26" s="14" t="inlineStr">
        <is>
          <t>TC-25</t>
        </is>
      </c>
      <c r="B26" s="13" t="inlineStr">
        <is>
          <t>Happy path: Nusrat and Rafiq share Bullet end to end</t>
        </is>
      </c>
      <c r="C26" s="13" t="inlineStr">
        <is>
          <t>FR-DRV-05, FR-DRV-06, FR-DRV-07, FR-DRV-08, FR-DRV-09, FR-POOL-01, FR-POOL-08, FR-POOL-10</t>
        </is>
      </c>
      <c r="D26" s="14" t="inlineStr">
        <is>
          <t>E2E</t>
        </is>
      </c>
      <c r="E26" s="14" t="inlineStr">
        <is>
          <t>Scenario E1</t>
        </is>
      </c>
      <c r="F26" s="13" t="inlineStr">
        <is>
          <t>Seeded personas; Jashim online in Banani.</t>
        </is>
      </c>
      <c r="G26" s="13" t="inlineStr">
        <is>
          <t>Nusrat requests; Rafiq requests; Jashim accepts both; arrive; start; drop Nusrat at Mohakhali; drop Rafiq at Gulshan 1.</t>
        </is>
      </c>
      <c r="H26" s="13" t="inlineStr">
        <is>
          <t>Statuses follow §5; pool shows 2/3 seats; Nusrat COMPLETED before Rafiq; pool auto-COMPLETED; Jashim's zone = Gulshan 1.</t>
        </is>
      </c>
      <c r="I26" s="15" t="inlineStr">
        <is>
          <t>Not Written</t>
        </is>
      </c>
      <c r="J26" s="16" t="inlineStr"/>
      <c r="K26" s="16" t="inlineStr"/>
    </row>
    <row r="27" ht="33" customHeight="1">
      <c r="A27" s="9" t="inlineStr">
        <is>
          <t>TC-26</t>
        </is>
      </c>
      <c r="B27" s="17" t="inlineStr">
        <is>
          <t>TeslaPay settlement and ledger integrity</t>
        </is>
      </c>
      <c r="C27" s="17" t="inlineStr">
        <is>
          <t>FR-PAY-03, FR-PAY-06, BR-15, NFR-CON-05</t>
        </is>
      </c>
      <c r="D27" s="9" t="inlineStr">
        <is>
          <t>Integration</t>
        </is>
      </c>
      <c r="E27" s="9" t="inlineStr">
        <is>
          <t>Payment</t>
        </is>
      </c>
      <c r="F27" s="17" t="inlineStr">
        <is>
          <t>Nusrat wallet 50000 paisa, TeslaPay, pooled trip.</t>
        </is>
      </c>
      <c r="G27" s="17" t="inlineStr">
        <is>
          <t>Complete Nusrat.</t>
        </is>
      </c>
      <c r="H27" s="17" t="inlineStr">
        <is>
          <t>Balance 43400; RIDE_PAYMENT −6600 ledger row; balance = Σ ledger; payment PAID.</t>
        </is>
      </c>
      <c r="I27" s="15" t="inlineStr">
        <is>
          <t>Not Written</t>
        </is>
      </c>
      <c r="J27" s="16" t="inlineStr"/>
      <c r="K27" s="16" t="inlineStr"/>
    </row>
    <row r="28" ht="18" customHeight="1">
      <c r="A28" s="14" t="inlineStr">
        <is>
          <t>TC-27</t>
        </is>
      </c>
      <c r="B28" s="13" t="inlineStr">
        <is>
          <t>Cash payment pending then collected</t>
        </is>
      </c>
      <c r="C28" s="13" t="inlineStr">
        <is>
          <t>FR-PAY-04, FR-DRV-10, BR-16</t>
        </is>
      </c>
      <c r="D28" s="14" t="inlineStr">
        <is>
          <t>Integration</t>
        </is>
      </c>
      <c r="E28" s="14" t="inlineStr">
        <is>
          <t>Payment</t>
        </is>
      </c>
      <c r="F28" s="13" t="inlineStr">
        <is>
          <t>Rafiq pays cash, pooled trip.</t>
        </is>
      </c>
      <c r="G28" s="13" t="inlineStr">
        <is>
          <t>Complete Rafiq; Jashim marks cash collected.</t>
        </is>
      </c>
      <c r="H28" s="13" t="inlineStr">
        <is>
          <t>PENDING_CASH 6000 → PAID; audited.</t>
        </is>
      </c>
      <c r="I28" s="15" t="inlineStr">
        <is>
          <t>Not Written</t>
        </is>
      </c>
      <c r="J28" s="16" t="inlineStr"/>
      <c r="K28" s="16" t="inlineStr"/>
    </row>
    <row r="29" ht="33" customHeight="1">
      <c r="A29" s="9" t="inlineStr">
        <is>
          <t>TC-28</t>
        </is>
      </c>
      <c r="B29" s="17" t="inlineStr">
        <is>
          <t>Insufficient TeslaPay balance at request</t>
        </is>
      </c>
      <c r="C29" s="17" t="inlineStr">
        <is>
          <t>FR-PAX-05</t>
        </is>
      </c>
      <c r="D29" s="9" t="inlineStr">
        <is>
          <t>Integration</t>
        </is>
      </c>
      <c r="E29" s="9" t="inlineStr">
        <is>
          <t>Payment</t>
        </is>
      </c>
      <c r="F29" s="17" t="inlineStr">
        <is>
          <t>Shirin wallet 5000 paisa; solo estimate 10500.</t>
        </is>
      </c>
      <c r="G29" s="17" t="inlineStr">
        <is>
          <t>Shirin requests with TESLAPAY.</t>
        </is>
      </c>
      <c r="H29" s="17" t="inlineStr">
        <is>
          <t>422 INSUFFICIENT_BALANCE; no ride created.</t>
        </is>
      </c>
      <c r="I29" s="15" t="inlineStr">
        <is>
          <t>Not Written</t>
        </is>
      </c>
      <c r="J29" s="16" t="inlineStr"/>
      <c r="K29" s="16" t="inlineStr"/>
    </row>
    <row r="30" ht="33" customHeight="1">
      <c r="A30" s="14" t="inlineStr">
        <is>
          <t>TC-29</t>
        </is>
      </c>
      <c r="B30" s="13" t="inlineStr">
        <is>
          <t>Wallet top-up limits</t>
        </is>
      </c>
      <c r="C30" s="13" t="inlineStr">
        <is>
          <t>FR-PAY-01, FR-PAY-02, BR-17</t>
        </is>
      </c>
      <c r="D30" s="14" t="inlineStr">
        <is>
          <t>Integration</t>
        </is>
      </c>
      <c r="E30" s="14" t="inlineStr">
        <is>
          <t>Payment</t>
        </is>
      </c>
      <c r="F30" s="13" t="inlineStr">
        <is>
          <t>Nusrat wallet.</t>
        </is>
      </c>
      <c r="G30" s="13" t="inlineStr">
        <is>
          <t>Top up ৳500, ৳10, ৳6000.</t>
        </is>
      </c>
      <c r="H30" s="13" t="inlineStr">
        <is>
          <t>৳500 credited (+50000, TOPUP row); ৳10 and ৳6000 → 400.</t>
        </is>
      </c>
      <c r="I30" s="15" t="inlineStr">
        <is>
          <t>Not Written</t>
        </is>
      </c>
      <c r="J30" s="16" t="inlineStr"/>
      <c r="K30" s="16" t="inlineStr"/>
    </row>
    <row r="31" ht="48" customHeight="1">
      <c r="A31" s="9" t="inlineStr">
        <is>
          <t>TC-30</t>
        </is>
      </c>
      <c r="B31" s="17" t="inlineStr">
        <is>
          <t>Audit trail fully reconstructs the ride</t>
        </is>
      </c>
      <c r="C31" s="17" t="inlineStr">
        <is>
          <t>FR-HIST-01, FR-HIST-02, FR-HIST-04</t>
        </is>
      </c>
      <c r="D31" s="9" t="inlineStr">
        <is>
          <t>Integration</t>
        </is>
      </c>
      <c r="E31" s="9" t="inlineStr">
        <is>
          <t>History</t>
        </is>
      </c>
      <c r="F31" s="17" t="inlineStr">
        <is>
          <t>Run TC-25.</t>
        </is>
      </c>
      <c r="G31" s="17" t="inlineStr">
        <is>
          <t>Query status_history for Nusrat's ride and the pool.</t>
        </is>
      </c>
      <c r="H31" s="17" t="inlineStr">
        <is>
          <t>One row per transition with actor, role, reason, timestamp; no update/delete path exists; ride reconstructable from records.</t>
        </is>
      </c>
      <c r="I31" s="15" t="inlineStr">
        <is>
          <t>Not Written</t>
        </is>
      </c>
      <c r="J31" s="16" t="inlineStr"/>
      <c r="K31" s="16" t="inlineStr"/>
    </row>
    <row r="32" ht="33" customHeight="1">
      <c r="A32" s="14" t="inlineStr">
        <is>
          <t>TC-31</t>
        </is>
      </c>
      <c r="B32" s="13" t="inlineStr">
        <is>
          <t>Passenger sign-up validation</t>
        </is>
      </c>
      <c r="C32" s="13" t="inlineStr">
        <is>
          <t>FR-AUTH-01</t>
        </is>
      </c>
      <c r="D32" s="14" t="inlineStr">
        <is>
          <t>Integration</t>
        </is>
      </c>
      <c r="E32" s="14" t="inlineStr">
        <is>
          <t>Auth</t>
        </is>
      </c>
      <c r="F32" s="13" t="inlineStr">
        <is>
          <t>Nusrat already exists.</t>
        </is>
      </c>
      <c r="G32" s="13" t="inlineStr">
        <is>
          <t>Sign up new passenger; duplicate e-mail; 6-char password.</t>
        </is>
      </c>
      <c r="H32" s="13" t="inlineStr">
        <is>
          <t>201 + wallet ৳0; 409; 400.</t>
        </is>
      </c>
      <c r="I32" s="15" t="inlineStr">
        <is>
          <t>Passing</t>
        </is>
      </c>
      <c r="J32" s="16" t="inlineStr">
        <is>
          <t>apps/api/test/auth/sign-up.test.ts</t>
        </is>
      </c>
      <c r="K32" s="16" t="inlineStr">
        <is>
          <t>2026-09-24 passing (local + Docker)</t>
        </is>
      </c>
    </row>
    <row r="33" ht="33" customHeight="1">
      <c r="A33" s="9" t="inlineStr">
        <is>
          <t>TC-32</t>
        </is>
      </c>
      <c r="B33" s="17" t="inlineStr">
        <is>
          <t>Sign-in, sign-out and /me</t>
        </is>
      </c>
      <c r="C33" s="17" t="inlineStr">
        <is>
          <t>FR-AUTH-02, FR-AUTH-03, FR-AUTH-04, NFR-SEC-02</t>
        </is>
      </c>
      <c r="D33" s="9" t="inlineStr">
        <is>
          <t>Integration</t>
        </is>
      </c>
      <c r="E33" s="9" t="inlineStr">
        <is>
          <t>Auth</t>
        </is>
      </c>
      <c r="F33" s="17" t="inlineStr">
        <is>
          <t>Seeded Jashim.</t>
        </is>
      </c>
      <c r="G33" s="17" t="inlineStr">
        <is>
          <t>Login ok; login wrong password; /me; logout; /me again; call protected endpoint without session.</t>
        </is>
      </c>
      <c r="H33" s="17" t="inlineStr">
        <is>
          <t>200 with role DRIVER + vehicle; 401 generic; 401 after logout; 401 unauthenticated.</t>
        </is>
      </c>
      <c r="I33" s="15" t="inlineStr">
        <is>
          <t>Passing</t>
        </is>
      </c>
      <c r="J33" s="16" t="inlineStr">
        <is>
          <t>apps/api/test/auth/sessions.test.ts</t>
        </is>
      </c>
      <c r="K33" s="16" t="inlineStr">
        <is>
          <t>2026-09-24 passing (local + Docker)</t>
        </is>
      </c>
    </row>
    <row r="34" ht="33" customHeight="1">
      <c r="A34" s="14" t="inlineStr">
        <is>
          <t>TC-33</t>
        </is>
      </c>
      <c r="B34" s="13" t="inlineStr">
        <is>
          <t>Input validation at the API boundary</t>
        </is>
      </c>
      <c r="C34" s="13" t="inlineStr">
        <is>
          <t>FR-PAX-03, NFR-SEC-04</t>
        </is>
      </c>
      <c r="D34" s="14" t="inlineStr">
        <is>
          <t>Integration</t>
        </is>
      </c>
      <c r="E34" s="14" t="inlineStr">
        <is>
          <t>Validation</t>
        </is>
      </c>
      <c r="F34" s="13" t="inlineStr">
        <is>
          <t>Nusrat signed in.</t>
        </is>
      </c>
      <c r="G34" s="13" t="inlineStr">
        <is>
          <t>Create ride with pickup = destination; seats 0; seats 4; unknown zone; extra field.</t>
        </is>
      </c>
      <c r="H34" s="13" t="inlineStr">
        <is>
          <t>400 VALIDATION_ERROR with field details each time.</t>
        </is>
      </c>
      <c r="I34" s="15" t="inlineStr">
        <is>
          <t>Passing</t>
        </is>
      </c>
      <c r="J34" s="16" t="inlineStr">
        <is>
          <t>apps/api/test/rides/request.test.ts</t>
        </is>
      </c>
      <c r="K34" s="16" t="inlineStr">
        <is>
          <t>2026-09-24 passing (local + Docker)</t>
        </is>
      </c>
    </row>
    <row r="35" ht="33" customHeight="1">
      <c r="A35" s="9" t="inlineStr">
        <is>
          <t>TC-34</t>
        </is>
      </c>
      <c r="B35" s="17" t="inlineStr">
        <is>
          <t>Standard error format and no leaks</t>
        </is>
      </c>
      <c r="C35" s="17" t="inlineStr">
        <is>
          <t>NFR-REL-01, NFR-SEC-09</t>
        </is>
      </c>
      <c r="D35" s="9" t="inlineStr">
        <is>
          <t>Integration</t>
        </is>
      </c>
      <c r="E35" s="9" t="inlineStr">
        <is>
          <t>Errors</t>
        </is>
      </c>
      <c r="F35" s="17" t="inlineStr">
        <is>
          <t>Production mode.</t>
        </is>
      </c>
      <c r="G35" s="17" t="inlineStr">
        <is>
          <t>Trigger 400, 404, 409 and a forced 500.</t>
        </is>
      </c>
      <c r="H35" s="17" t="inlineStr">
        <is>
          <t>Body {error:{code,message,details},requestId}; 500 has no stack trace.</t>
        </is>
      </c>
      <c r="I35" s="15" t="inlineStr">
        <is>
          <t>Written</t>
        </is>
      </c>
      <c r="J35" s="16" t="inlineStr">
        <is>
          <t>apps/api/test/app.test.ts (404, malformed JSON, requestId); 409/500 cases added with later modules</t>
        </is>
      </c>
      <c r="K35" s="16" t="inlineStr">
        <is>
          <t>2026-09-24 passing</t>
        </is>
      </c>
    </row>
    <row r="36" ht="33" customHeight="1">
      <c r="A36" s="14" t="inlineStr">
        <is>
          <t>TC-35</t>
        </is>
      </c>
      <c r="B36" s="13" t="inlineStr">
        <is>
          <t>Zones list and fare estimate (solo &amp; pooled with breakdown)</t>
        </is>
      </c>
      <c r="C36" s="13" t="inlineStr">
        <is>
          <t>FR-PAX-01, FR-PAX-02, FR-FARE-02, FR-FARE-04</t>
        </is>
      </c>
      <c r="D36" s="14" t="inlineStr">
        <is>
          <t>Integration</t>
        </is>
      </c>
      <c r="E36" s="14" t="inlineStr">
        <is>
          <t>#3 Fares</t>
        </is>
      </c>
      <c r="F36" s="13" t="inlineStr">
        <is>
          <t>Nusrat signed in; zones seeded.</t>
        </is>
      </c>
      <c r="G36" s="13" t="inlineStr">
        <is>
          <t>GET /zones; POST /fares/estimate BAN→MHK 1 seat.</t>
        </is>
      </c>
      <c r="H36" s="13" t="inlineStr">
        <is>
          <t>10 zones with code/name/coords; estimate solo 7500, pooled 6600, breakdown base/distance/discount.</t>
        </is>
      </c>
      <c r="I36" s="15" t="inlineStr">
        <is>
          <t>Passing</t>
        </is>
      </c>
      <c r="J36" s="16" t="inlineStr">
        <is>
          <t>apps/api/test/zones/zones.test.ts, apps/api/test/fares/estimate.test.ts</t>
        </is>
      </c>
      <c r="K36" s="16" t="inlineStr">
        <is>
          <t>2026-09-24 passing (local + Docker)</t>
        </is>
      </c>
    </row>
    <row r="37" ht="33" customHeight="1">
      <c r="A37" s="9" t="inlineStr">
        <is>
          <t>TC-36</t>
        </is>
      </c>
      <c r="B37" s="17" t="inlineStr">
        <is>
          <t>docker compose up on a fresh clone</t>
        </is>
      </c>
      <c r="C37" s="17" t="inlineStr">
        <is>
          <t>NFR-POR-01, NFR-REL-02, DR-09</t>
        </is>
      </c>
      <c r="D37" s="9" t="inlineStr">
        <is>
          <t>Manual</t>
        </is>
      </c>
      <c r="E37" s="9" t="inlineStr">
        <is>
          <t>Docker</t>
        </is>
      </c>
      <c r="F37" s="17" t="inlineStr">
        <is>
          <t>Clean machine with Docker only.</t>
        </is>
      </c>
      <c r="G37" s="17" t="inlineStr">
        <is>
          <t>Clone; cp .env.example .env; docker compose up.</t>
        </is>
      </c>
      <c r="H37" s="17" t="inlineStr">
        <is>
          <t>All services healthy; migrations + seed applied; Nusrat and Jashim can sign in.</t>
        </is>
      </c>
      <c r="I37" s="15" t="inlineStr">
        <is>
          <t>Not Written</t>
        </is>
      </c>
      <c r="J37" s="16" t="inlineStr"/>
      <c r="K37" s="16" t="inlineStr"/>
    </row>
    <row r="38" ht="33" customHeight="1">
      <c r="A38" s="14" t="inlineStr">
        <is>
          <t>TC-37</t>
        </is>
      </c>
      <c r="B38" s="13" t="inlineStr">
        <is>
          <t>Seed is idempotent and uses the reference personas</t>
        </is>
      </c>
      <c r="C38" s="13" t="inlineStr">
        <is>
          <t>NFR-POR-03, DR-15, FR-AUTH-06, BR-08</t>
        </is>
      </c>
      <c r="D38" s="14" t="inlineStr">
        <is>
          <t>Manual</t>
        </is>
      </c>
      <c r="E38" s="14" t="inlineStr">
        <is>
          <t>Docker</t>
        </is>
      </c>
      <c r="F38" s="13" t="inlineStr">
        <is>
          <t>Stack running.</t>
        </is>
      </c>
      <c r="G38" s="13" t="inlineStr">
        <is>
          <t>Run seed twice; search repo for user1/driver1.</t>
        </is>
      </c>
      <c r="H38" s="13" t="inlineStr">
        <is>
          <t>No duplicates or errors; personas present; no placeholders found.</t>
        </is>
      </c>
      <c r="I38" s="15" t="inlineStr">
        <is>
          <t>Passing</t>
        </is>
      </c>
      <c r="J38" s="16" t="inlineStr">
        <is>
          <t>apps/api/test/db/seed.test.ts (automated; no user1/driver1 in seed data)</t>
        </is>
      </c>
      <c r="K38" s="16" t="inlineStr">
        <is>
          <t>2026-09-24 passing (local + Docker)</t>
        </is>
      </c>
    </row>
    <row r="39" ht="18" customHeight="1">
      <c r="A39" s="9" t="inlineStr">
        <is>
          <t>TC-38</t>
        </is>
      </c>
      <c r="B39" s="17" t="inlineStr">
        <is>
          <t>Login rate limiting</t>
        </is>
      </c>
      <c r="C39" s="17" t="inlineStr">
        <is>
          <t>NFR-SEC-07</t>
        </is>
      </c>
      <c r="D39" s="9" t="inlineStr">
        <is>
          <t>Integration</t>
        </is>
      </c>
      <c r="E39" s="9" t="inlineStr">
        <is>
          <t>Security</t>
        </is>
      </c>
      <c r="F39" s="17" t="inlineStr">
        <is>
          <t>—</t>
        </is>
      </c>
      <c r="G39" s="17" t="inlineStr">
        <is>
          <t>11 failed logins within 1 minute from one IP.</t>
        </is>
      </c>
      <c r="H39" s="17" t="inlineStr">
        <is>
          <t>11th returns 429 RATE_LIMITED.</t>
        </is>
      </c>
      <c r="I39" s="15" t="inlineStr">
        <is>
          <t>Passing</t>
        </is>
      </c>
      <c r="J39" s="16" t="inlineStr">
        <is>
          <t>apps/api/test/auth/rate-limit.test.ts</t>
        </is>
      </c>
      <c r="K39" s="16" t="inlineStr">
        <is>
          <t>2026-09-24 passing (local + Docker)</t>
        </is>
      </c>
    </row>
    <row r="40" ht="33" customHeight="1">
      <c r="A40" s="14" t="inlineStr">
        <is>
          <t>TC-39</t>
        </is>
      </c>
      <c r="B40" s="13" t="inlineStr">
        <is>
          <t>Passenger history and ride detail</t>
        </is>
      </c>
      <c r="C40" s="13" t="inlineStr">
        <is>
          <t>FR-PAX-09, FR-PAX-10, FR-HIST-03</t>
        </is>
      </c>
      <c r="D40" s="14" t="inlineStr">
        <is>
          <t>Integration</t>
        </is>
      </c>
      <c r="E40" s="14" t="inlineStr">
        <is>
          <t>History</t>
        </is>
      </c>
      <c r="F40" s="13" t="inlineStr">
        <is>
          <t>Nusrat has 2 past rides; Rafiq has 1.</t>
        </is>
      </c>
      <c r="G40" s="13" t="inlineStr">
        <is>
          <t>Nusrat GET /rides?scope=history and a detail.</t>
        </is>
      </c>
      <c r="H40" s="13" t="inlineStr">
        <is>
          <t>Only Nusrat's rides, newest first, with timeline and fare breakdown.</t>
        </is>
      </c>
      <c r="I40" s="15" t="inlineStr">
        <is>
          <t>Passing</t>
        </is>
      </c>
      <c r="J40" s="16" t="inlineStr">
        <is>
          <t>apps/api/test/rides/read.test.ts</t>
        </is>
      </c>
      <c r="K40" s="16" t="inlineStr">
        <is>
          <t>2026-09-24 passing (local + Docker)</t>
        </is>
      </c>
    </row>
    <row r="41" ht="33" customHeight="1">
      <c r="A41" s="9" t="inlineStr">
        <is>
          <t>TC-40</t>
        </is>
      </c>
      <c r="B41" s="17" t="inlineStr">
        <is>
          <t>Driver sees Tesla, pool and history</t>
        </is>
      </c>
      <c r="C41" s="17" t="inlineStr">
        <is>
          <t>FR-DRV-01, FR-DRV-13</t>
        </is>
      </c>
      <c r="D41" s="9" t="inlineStr">
        <is>
          <t>Integration</t>
        </is>
      </c>
      <c r="E41" s="9" t="inlineStr">
        <is>
          <t>Driver flow</t>
        </is>
      </c>
      <c r="F41" s="17" t="inlineStr">
        <is>
          <t>Jashim with 1 completed pool; Kamal with 1.</t>
        </is>
      </c>
      <c r="G41" s="17" t="inlineStr">
        <is>
          <t>Jashim GET dashboard and /driver/pools?scope=history.</t>
        </is>
      </c>
      <c r="H41" s="17" t="inlineStr">
        <is>
          <t>Bullet · DHAKA-TESLA-11 · 3 seats; only Jashim's pools.</t>
        </is>
      </c>
      <c r="I41" s="15" t="inlineStr">
        <is>
          <t>Not Written</t>
        </is>
      </c>
      <c r="J41" s="16" t="inlineStr"/>
      <c r="K41" s="16" t="inlineStr"/>
    </row>
    <row r="42" ht="48" customHeight="1">
      <c r="A42" s="14" t="inlineStr">
        <is>
          <t>TC-41</t>
        </is>
      </c>
      <c r="B42" s="13" t="inlineStr">
        <is>
          <t>UI states and usability walkthrough</t>
        </is>
      </c>
      <c r="C42" s="13" t="inlineStr">
        <is>
          <t>NFR-USA-01, NFR-USA-02, NFR-USA-03, NFR-USA-04, NFR-USA-05, NFR-USA-06, FR-PAX-07</t>
        </is>
      </c>
      <c r="D42" s="14" t="inlineStr">
        <is>
          <t>Manual</t>
        </is>
      </c>
      <c r="E42" s="14" t="inlineStr">
        <is>
          <t>Frontend</t>
        </is>
      </c>
      <c r="F42" s="13" t="inlineStr">
        <is>
          <t>Running app; mobile viewport 360 px.</t>
        </is>
      </c>
      <c r="G42" s="13" t="inlineStr">
        <is>
          <t>Walk through every screen in SRS §8.1 incl. slow network, empty data, API down.</t>
        </is>
      </c>
      <c r="H42" s="13" t="inlineStr">
        <is>
          <t>Loading/empty/error states present; labels human-readable; only valid actions shown; ৳ with 2 decimals; confirmations state fees; status refreshes ≤5 s.</t>
        </is>
      </c>
      <c r="I42" s="15" t="inlineStr">
        <is>
          <t>Not Written</t>
        </is>
      </c>
      <c r="J42" s="16" t="inlineStr"/>
      <c r="K42" s="16" t="inlineStr"/>
    </row>
    <row r="43" ht="33" customHeight="1">
      <c r="A43" s="9" t="inlineStr">
        <is>
          <t>TC-42</t>
        </is>
      </c>
      <c r="B43" s="17" t="inlineStr">
        <is>
          <t>Database outage returns 503 and recovers</t>
        </is>
      </c>
      <c r="C43" s="17" t="inlineStr">
        <is>
          <t>NFR-REL-03</t>
        </is>
      </c>
      <c r="D43" s="9" t="inlineStr">
        <is>
          <t>Manual</t>
        </is>
      </c>
      <c r="E43" s="9" t="inlineStr">
        <is>
          <t>Reliability</t>
        </is>
      </c>
      <c r="F43" s="17" t="inlineStr">
        <is>
          <t>Stack running.</t>
        </is>
      </c>
      <c r="G43" s="17" t="inlineStr">
        <is>
          <t>Stop DB container; call API; start DB; call API.</t>
        </is>
      </c>
      <c r="H43" s="17" t="inlineStr">
        <is>
          <t>503 SERVICE_UNAVAILABLE, then 200 without API restart.</t>
        </is>
      </c>
      <c r="I43" s="15" t="inlineStr">
        <is>
          <t>Not Written</t>
        </is>
      </c>
      <c r="J43" s="16" t="inlineStr"/>
      <c r="K43" s="16" t="inlineStr"/>
    </row>
    <row r="44" ht="33" customHeight="1">
      <c r="A44" s="14" t="inlineStr">
        <is>
          <t>TC-43</t>
        </is>
      </c>
      <c r="B44" s="13" t="inlineStr">
        <is>
          <t>Driver marks no-show after 5 minutes</t>
        </is>
      </c>
      <c r="C44" s="13" t="inlineStr">
        <is>
          <t>FR-DRV-12</t>
        </is>
      </c>
      <c r="D44" s="14" t="inlineStr">
        <is>
          <t>Integration</t>
        </is>
      </c>
      <c r="E44" s="14" t="inlineStr">
        <is>
          <t>#5 Cancellation</t>
        </is>
      </c>
      <c r="F44" s="13" t="inlineStr">
        <is>
          <t>Pool DRIVER_ARRIVED 6 min ago with Shirin.</t>
        </is>
      </c>
      <c r="G44" s="13" t="inlineStr">
        <is>
          <t>Jashim marks Shirin no-show; repeat at 2 min.</t>
        </is>
      </c>
      <c r="H44" s="13" t="inlineStr">
        <is>
          <t>6 min: CANCELLED reason NO_SHOW + 2000 fee. 2 min: 409.</t>
        </is>
      </c>
      <c r="I44" s="15" t="inlineStr">
        <is>
          <t>Not Written</t>
        </is>
      </c>
      <c r="J44" s="16" t="inlineStr"/>
      <c r="K44" s="16" t="inlineStr"/>
    </row>
    <row r="45" ht="18" customHeight="1">
      <c r="A45" s="9" t="inlineStr">
        <is>
          <t>TC-44</t>
        </is>
      </c>
      <c r="B45" s="17" t="inlineStr">
        <is>
          <t>Passwords are hashed</t>
        </is>
      </c>
      <c r="C45" s="17" t="inlineStr">
        <is>
          <t>NFR-SEC-01</t>
        </is>
      </c>
      <c r="D45" s="9" t="inlineStr">
        <is>
          <t>Inspection</t>
        </is>
      </c>
      <c r="E45" s="9" t="inlineStr">
        <is>
          <t>Security</t>
        </is>
      </c>
      <c r="F45" s="17" t="inlineStr">
        <is>
          <t>Seeded DB.</t>
        </is>
      </c>
      <c r="G45" s="17" t="inlineStr">
        <is>
          <t>Inspect users.password_hash and logs.</t>
        </is>
      </c>
      <c r="H45" s="17" t="inlineStr">
        <is>
          <t>Only bcrypt/argon2 hashes; no plaintext anywhere.</t>
        </is>
      </c>
      <c r="I45" s="15" t="inlineStr">
        <is>
          <t>Passing</t>
        </is>
      </c>
      <c r="J45" s="16" t="inlineStr">
        <is>
          <t>apps/api/test/auth/sessions.test.ts (automated: bcrypt hashes, SHA-256 token hash)</t>
        </is>
      </c>
      <c r="K45" s="16" t="inlineStr">
        <is>
          <t>2026-09-24 passing</t>
        </is>
      </c>
    </row>
    <row r="46" ht="33" customHeight="1">
      <c r="A46" s="14" t="inlineStr">
        <is>
          <t>TC-45</t>
        </is>
      </c>
      <c r="B46" s="13" t="inlineStr">
        <is>
          <t>Money is integer paisa everywhere</t>
        </is>
      </c>
      <c r="C46" s="13" t="inlineStr">
        <is>
          <t>FR-FARE-06, BR-14</t>
        </is>
      </c>
      <c r="D46" s="14" t="inlineStr">
        <is>
          <t>Inspection</t>
        </is>
      </c>
      <c r="E46" s="14" t="inlineStr">
        <is>
          <t>#3 Fares</t>
        </is>
      </c>
      <c r="F46" s="13" t="inlineStr">
        <is>
          <t>Migrations.</t>
        </is>
      </c>
      <c r="G46" s="13" t="inlineStr">
        <is>
          <t>Inspect all money columns and fare code.</t>
        </is>
      </c>
      <c r="H46" s="13" t="inlineStr">
        <is>
          <t>BIGINT/INTEGER columns only; no float arithmetic on money.</t>
        </is>
      </c>
      <c r="I46" s="15" t="inlineStr">
        <is>
          <t>Not Written</t>
        </is>
      </c>
      <c r="J46" s="16" t="inlineStr"/>
      <c r="K46" s="16" t="inlineStr"/>
    </row>
    <row r="47" ht="33" customHeight="1">
      <c r="A47" s="9" t="inlineStr">
        <is>
          <t>TC-46</t>
        </is>
      </c>
      <c r="B47" s="17" t="inlineStr">
        <is>
          <t>Performance smoke test</t>
        </is>
      </c>
      <c r="C47" s="17" t="inlineStr">
        <is>
          <t>NFR-PERF-01</t>
        </is>
      </c>
      <c r="D47" s="9" t="inlineStr">
        <is>
          <t>Manual</t>
        </is>
      </c>
      <c r="E47" s="9" t="inlineStr">
        <is>
          <t>Performance</t>
        </is>
      </c>
      <c r="F47" s="17" t="inlineStr">
        <is>
          <t>Seeded Docker stack.</t>
        </is>
      </c>
      <c r="G47" s="17" t="inlineStr">
        <is>
          <t>Load script: 20 virtual users for 60 s on key endpoints.</t>
        </is>
      </c>
      <c r="H47" s="17" t="inlineStr">
        <is>
          <t>p95 &lt; 300 ms; no errors.</t>
        </is>
      </c>
      <c r="I47" s="15" t="inlineStr">
        <is>
          <t>Not Written</t>
        </is>
      </c>
      <c r="J47" s="16" t="inlineStr"/>
      <c r="K47" s="16" t="inlineStr"/>
    </row>
    <row r="48" ht="48" customHeight="1">
      <c r="A48" s="14" t="inlineStr">
        <is>
          <t>TC-47</t>
        </is>
      </c>
      <c r="B48" s="13" t="inlineStr">
        <is>
          <t>Same-gender pool rejects a rider of another gender</t>
        </is>
      </c>
      <c r="C48" s="13" t="inlineStr">
        <is>
          <t>FR-POOL-11, BR-18, BR-02, FR-DRV-06</t>
        </is>
      </c>
      <c r="D48" s="14" t="inlineStr">
        <is>
          <t>Integration</t>
        </is>
      </c>
      <c r="E48" s="14" t="inlineStr">
        <is>
          <t>Matching (PRD §4)</t>
        </is>
      </c>
      <c r="F48" s="13" t="inlineStr">
        <is>
          <t>Shirin (FEMALE, same-gender option) accepted into Bullet's pool; Rafiq (MALE) and Nusrat (FEMALE) have compatible REQUESTED rides.</t>
        </is>
      </c>
      <c r="G48" s="13" t="inlineStr">
        <is>
          <t>1) Check pool restriction. 2) Jashim accepts Rafiq. 3) Jashim accepts Nusrat.</t>
        </is>
      </c>
      <c r="H48" s="13" t="inlineStr">
        <is>
          <t>1) FEMALE_ONLY and driver view shows the badge. 2) 422 NOT_COMPATIBLE, reason GENDER_RESTRICTED; nothing changes. 3) 200; pool 2/3.</t>
        </is>
      </c>
      <c r="I48" s="15" t="inlineStr">
        <is>
          <t>Not Written</t>
        </is>
      </c>
      <c r="J48" s="16" t="inlineStr"/>
      <c r="K48" s="16" t="inlineStr"/>
    </row>
    <row r="49" ht="63" customHeight="1">
      <c r="A49" s="9" t="inlineStr">
        <is>
          <t>TC-48</t>
        </is>
      </c>
      <c r="B49" s="17" t="inlineStr">
        <is>
          <t>Same-gender request cannot join a mixed pool</t>
        </is>
      </c>
      <c r="C49" s="17" t="inlineStr">
        <is>
          <t>FR-POOL-11, BR-18</t>
        </is>
      </c>
      <c r="D49" s="9" t="inlineStr">
        <is>
          <t>Integration</t>
        </is>
      </c>
      <c r="E49" s="9" t="inlineStr">
        <is>
          <t>Matching (PRD §4)</t>
        </is>
      </c>
      <c r="F49" s="17" t="inlineStr">
        <is>
          <t>Rafiq (MALE) in Bullet's pool (restriction NONE). Shirin (FEMALE) requests with the same-gender option. A PREFER_NOT_TO_SAY passenger has a compatible ride.</t>
        </is>
      </c>
      <c r="G49" s="17" t="inlineStr">
        <is>
          <t>1) Jashim accepts Shirin. 2) Make the pool FEMALE_ONLY via a new setup and accept the PREFER_NOT_TO_SAY passenger.</t>
        </is>
      </c>
      <c r="H49" s="17" t="inlineStr">
        <is>
          <t>Both rejected with 422 GENDER_RESTRICTED.</t>
        </is>
      </c>
      <c r="I49" s="15" t="inlineStr">
        <is>
          <t>Not Written</t>
        </is>
      </c>
      <c r="J49" s="16" t="inlineStr"/>
      <c r="K49" s="16" t="inlineStr"/>
    </row>
    <row r="50" ht="33" customHeight="1">
      <c r="A50" s="14" t="inlineStr">
        <is>
          <t>TC-49</t>
        </is>
      </c>
      <c r="B50" s="13" t="inlineStr">
        <is>
          <t>Restriction is recalculated when a member leaves</t>
        </is>
      </c>
      <c r="C50" s="13" t="inlineStr">
        <is>
          <t>FR-POOL-12, BR-18</t>
        </is>
      </c>
      <c r="D50" s="14" t="inlineStr">
        <is>
          <t>Integration</t>
        </is>
      </c>
      <c r="E50" s="14" t="inlineStr">
        <is>
          <t>#5 Cancellation</t>
        </is>
      </c>
      <c r="F50" s="13" t="inlineStr">
        <is>
          <t>Pool FEMALE_ONLY with Shirin (option) and Nusrat (no option).</t>
        </is>
      </c>
      <c r="G50" s="13" t="inlineStr">
        <is>
          <t>Shirin cancels in MATCHED; Jashim then accepts Rafiq.</t>
        </is>
      </c>
      <c r="H50" s="13" t="inlineStr">
        <is>
          <t>Restriction becomes NONE after Shirin leaves; Rafiq accepted.</t>
        </is>
      </c>
      <c r="I50" s="15" t="inlineStr">
        <is>
          <t>Not Written</t>
        </is>
      </c>
      <c r="J50" s="16" t="inlineStr"/>
      <c r="K50" s="16" t="inlineStr"/>
    </row>
    <row r="51" ht="63" customHeight="1">
      <c r="A51" s="9" t="inlineStr">
        <is>
          <t>TC-50</t>
        </is>
      </c>
      <c r="B51" s="17" t="inlineStr">
        <is>
          <t>Gender and same-gender option validation and privacy</t>
        </is>
      </c>
      <c r="C51" s="17" t="inlineStr">
        <is>
          <t>FR-PAX-11, FR-AUTH-01, FR-PAX-03</t>
        </is>
      </c>
      <c r="D51" s="9" t="inlineStr">
        <is>
          <t>Integration</t>
        </is>
      </c>
      <c r="E51" s="9" t="inlineStr">
        <is>
          <t>Validation</t>
        </is>
      </c>
      <c r="F51" s="17" t="inlineStr">
        <is>
          <t>New sign-ups; Nusrat and Rafiq in one pool.</t>
        </is>
      </c>
      <c r="G51" s="17" t="inlineStr">
        <is>
          <t>1) Sign up without gender. 2) PREFER_NOT_TO_SAY passenger requests with the option. 3) Option with pool opt-in = false. 4) Inspect Nusrat's ride response and Jashim's pool response.</t>
        </is>
      </c>
      <c r="H51" s="17" t="inlineStr">
        <is>
          <t>1) 201 with PREFER_NOT_TO_SAY. 2) and 3) 400 VALIDATION_ERROR. 4) No co-rider or member gender field present; only the restriction badge.</t>
        </is>
      </c>
      <c r="I51" s="15" t="inlineStr">
        <is>
          <t>Written</t>
        </is>
      </c>
      <c r="J51" s="16" t="inlineStr">
        <is>
          <t>Parts 1-3 in test/auth/sign-up.test.ts and test/rides/request.test.ts; passenger side of part 4 in test/rides/read.test.ts; driver pool response later</t>
        </is>
      </c>
      <c r="K51" s="16" t="inlineStr">
        <is>
          <t>2026-09-24 partial</t>
        </is>
      </c>
    </row>
    <row r="52" ht="48" customHeight="1">
      <c r="A52" s="14" t="inlineStr">
        <is>
          <t>TC-51</t>
        </is>
      </c>
      <c r="B52" s="13" t="inlineStr">
        <is>
          <t>Concurrent accepts cannot create a mixed restricted pool</t>
        </is>
      </c>
      <c r="C52" s="13" t="inlineStr">
        <is>
          <t>FR-POOL-11, BR-18, NFR-CON-02</t>
        </is>
      </c>
      <c r="D52" s="14" t="inlineStr">
        <is>
          <t>Integration</t>
        </is>
      </c>
      <c r="E52" s="14" t="inlineStr">
        <is>
          <t>#6 Concurrency</t>
        </is>
      </c>
      <c r="F52" s="13" t="inlineStr">
        <is>
          <t>Empty OPEN pool for Bullet after Nusrat (no option) accepted; Shirin (option) and Rafiq request concurrently.</t>
        </is>
      </c>
      <c r="G52" s="13" t="inlineStr">
        <is>
          <t>Fire accept(Shirin) and accept(Rafiq) in parallel, ≥20 times with fresh data.</t>
        </is>
      </c>
      <c r="H52" s="13" t="inlineStr">
        <is>
          <t>Never both accepted: either the pool is FEMALE_ONLY with Shirin, or NONE with Rafiq and Shirin rejected.</t>
        </is>
      </c>
      <c r="I52" s="15" t="inlineStr">
        <is>
          <t>Not Written</t>
        </is>
      </c>
      <c r="J52" s="16" t="inlineStr"/>
      <c r="K52" s="16" t="inlineStr"/>
    </row>
  </sheetData>
  <autoFilter ref="A1:K52"/>
  <conditionalFormatting sqref="I2:I246">
    <cfRule type="expression" priority="1" dxfId="2">
      <formula>$I2="Not Written"</formula>
    </cfRule>
    <cfRule type="expression" priority="2" dxfId="3">
      <formula>$I2="Written"</formula>
    </cfRule>
    <cfRule type="expression" priority="3" dxfId="0">
      <formula>$I2="Passing"</formula>
    </cfRule>
    <cfRule type="expression" priority="4" dxfId="1">
      <formula>$I2="Failing"</formula>
    </cfRule>
    <cfRule type="expression" priority="5" dxfId="6">
      <formula>$I2="Blocked"</formula>
    </cfRule>
  </conditionalFormatting>
  <dataValidations count="2">
    <dataValidation sqref="I2:I246" showDropDown="0" showInputMessage="0" showErrorMessage="1" allowBlank="1" errorTitle="Invalid value" error="Pick a value from the list." promptTitle="Allowed values" prompt="Not Written → Written → Passing / Failing" type="list">
      <formula1>"Not Written,Written,Passing,Failing,Blocked"</formula1>
    </dataValidation>
    <dataValidation sqref="D2:D246" showDropDown="0" showInputMessage="0" showErrorMessage="1" allowBlank="1" errorTitle="Invalid value" error="Pick a value from the list." promptTitle="Allowed values" prompt="Test level" type="list">
      <formula1>"Unit,Integration,E2E,Manual,Inspection"</formula1>
    </dataValidation>
  </dataValidations>
  <pageMargins left="0.75" right="0.75" top="1" bottom="1" header="0.5" footer="0.5"/>
</worksheet>
</file>

<file path=xl/worksheets/sheet4.xml><?xml version="1.0" encoding="utf-8"?>
<worksheet xmlns="http://schemas.openxmlformats.org/spreadsheetml/2006/main">
  <sheetPr>
    <tabColor rgb="00C55A11"/>
    <outlinePr summaryBelow="1" summaryRight="1"/>
    <pageSetUpPr/>
  </sheetPr>
  <dimension ref="A1:I52"/>
  <sheetViews>
    <sheetView zoomScale="10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5" customWidth="1" min="2" max="2"/>
    <col width="52" customWidth="1" min="3" max="3"/>
    <col width="48" customWidth="1" min="4" max="4"/>
    <col width="34" customWidth="1" min="5" max="5"/>
    <col width="22" customWidth="1" min="6" max="6"/>
    <col width="12" customWidth="1" min="7" max="7"/>
    <col width="11" customWidth="1" min="8" max="8"/>
    <col width="30" customWidth="1" min="9" max="9"/>
  </cols>
  <sheetData>
    <row r="1" ht="30" customHeight="1">
      <c r="A1" s="7" t="inlineStr">
        <is>
          <t>ID</t>
        </is>
      </c>
      <c r="B1" s="7" t="inlineStr">
        <is>
          <t>Kind</t>
        </is>
      </c>
      <c r="C1" s="7" t="inlineStr">
        <is>
          <t>Statement</t>
        </is>
      </c>
      <c r="D1" s="7" t="inlineStr">
        <is>
          <t>Rationale / resolution</t>
        </is>
      </c>
      <c r="E1" s="7" t="inlineStr">
        <is>
          <t>Alternatives considered</t>
        </is>
      </c>
      <c r="F1" s="7" t="inlineStr">
        <is>
          <t>Related reqs</t>
        </is>
      </c>
      <c r="G1" s="7" t="inlineStr">
        <is>
          <t>Status</t>
        </is>
      </c>
      <c r="H1" s="7" t="inlineStr">
        <is>
          <t>Date</t>
        </is>
      </c>
      <c r="I1" s="7" t="inlineStr">
        <is>
          <t>Notes / who confirmed</t>
        </is>
      </c>
    </row>
    <row r="2" ht="48" customHeight="1">
      <c r="A2" s="14" t="inlineStr">
        <is>
          <t>A-01</t>
        </is>
      </c>
      <c r="B2" s="14" t="inlineStr">
        <is>
          <t>Assumption</t>
        </is>
      </c>
      <c r="C2" s="13" t="inlineStr">
        <is>
          <t>Geography is a fixed list of 10 Dhaka zones with a hand-authored, symmetric distance table and an adjacency list (§13.3).</t>
        </is>
      </c>
      <c r="D2" s="13" t="inlineStr">
        <is>
          <t>PRD §4 says not to fight map APIs. It is also deterministic and hand-checkable.</t>
        </is>
      </c>
      <c r="E2" s="13" t="inlineStr"/>
      <c r="F2" s="13" t="inlineStr">
        <is>
          <t>BR-08, BR-09</t>
        </is>
      </c>
      <c r="G2" s="15" t="inlineStr">
        <is>
          <t>Proposed</t>
        </is>
      </c>
      <c r="H2" s="14" t="inlineStr">
        <is>
          <t>2026-09-23</t>
        </is>
      </c>
      <c r="I2" s="16" t="inlineStr"/>
    </row>
    <row r="3" ht="33" customHeight="1">
      <c r="A3" s="9" t="inlineStr">
        <is>
          <t>A-02</t>
        </is>
      </c>
      <c r="B3" s="9" t="inlineStr">
        <is>
          <t>Assumption</t>
        </is>
      </c>
      <c r="C3" s="17" t="inlineStr">
        <is>
          <t>A passenger's pickup is the zone itself. There is no street address or pin.</t>
        </is>
      </c>
      <c r="D3" s="17" t="inlineStr">
        <is>
          <t>Keeps pooling pickup to a single stop.</t>
        </is>
      </c>
      <c r="E3" s="17" t="inlineStr"/>
      <c r="F3" s="17" t="inlineStr">
        <is>
          <t>BR-02</t>
        </is>
      </c>
      <c r="G3" s="15" t="inlineStr">
        <is>
          <t>Proposed</t>
        </is>
      </c>
      <c r="H3" s="9" t="inlineStr">
        <is>
          <t>2026-09-23</t>
        </is>
      </c>
      <c r="I3" s="16" t="inlineStr"/>
    </row>
    <row r="4" ht="33" customHeight="1">
      <c r="A4" s="14" t="inlineStr">
        <is>
          <t>A-03</t>
        </is>
      </c>
      <c r="B4" s="14" t="inlineStr">
        <is>
          <t>Assumption</t>
        </is>
      </c>
      <c r="C4" s="13" t="inlineStr">
        <is>
          <t>A driver owns exactly one Tesla, and its capacity is fixed (Bullet = 3).</t>
        </is>
      </c>
      <c r="D4" s="13" t="inlineStr">
        <is>
          <t>PRD §3 says "own a Tesla with fixed capacity".</t>
        </is>
      </c>
      <c r="E4" s="13" t="inlineStr"/>
      <c r="F4" s="13" t="inlineStr">
        <is>
          <t>FR-DRV-01, BR-01</t>
        </is>
      </c>
      <c r="G4" s="15" t="inlineStr">
        <is>
          <t>Proposed</t>
        </is>
      </c>
      <c r="H4" s="14" t="inlineStr">
        <is>
          <t>2026-09-23</t>
        </is>
      </c>
      <c r="I4" s="16" t="inlineStr"/>
    </row>
    <row r="5" ht="33" customHeight="1">
      <c r="A5" s="9" t="inlineStr">
        <is>
          <t>A-04</t>
        </is>
      </c>
      <c r="B5" s="9" t="inlineStr">
        <is>
          <t>Assumption</t>
        </is>
      </c>
      <c r="C5" s="17" t="inlineStr">
        <is>
          <t>A passenger may book 1 to capacity seats for companions without accounts. The fare is per seat.</t>
        </is>
      </c>
      <c r="D5" s="17" t="inlineStr">
        <is>
          <t>Common real-world case; PRD says "seats".</t>
        </is>
      </c>
      <c r="E5" s="17" t="inlineStr"/>
      <c r="F5" s="17" t="inlineStr">
        <is>
          <t>FR-PAX-03, BR-10</t>
        </is>
      </c>
      <c r="G5" s="15" t="inlineStr">
        <is>
          <t>Proposed</t>
        </is>
      </c>
      <c r="H5" s="9" t="inlineStr">
        <is>
          <t>2026-09-23</t>
        </is>
      </c>
      <c r="I5" s="16" t="inlineStr"/>
    </row>
    <row r="6" ht="33" customHeight="1">
      <c r="A6" s="14" t="inlineStr">
        <is>
          <t>A-05</t>
        </is>
      </c>
      <c r="B6" s="14" t="inlineStr">
        <is>
          <t>Assumption</t>
        </is>
      </c>
      <c r="C6" s="13" t="inlineStr">
        <is>
          <t>Drivers and their Teslas are seeded. There is no driver self-sign-up or KYC.</t>
        </is>
      </c>
      <c r="D6" s="13" t="inlineStr">
        <is>
          <t>PRD lists only "sign in" for drivers.</t>
        </is>
      </c>
      <c r="E6" s="13" t="inlineStr"/>
      <c r="F6" s="13" t="inlineStr">
        <is>
          <t>FR-AUTH-06, FR-AUTH-07</t>
        </is>
      </c>
      <c r="G6" s="15" t="inlineStr">
        <is>
          <t>Proposed</t>
        </is>
      </c>
      <c r="H6" s="14" t="inlineStr">
        <is>
          <t>2026-09-23</t>
        </is>
      </c>
      <c r="I6" s="16" t="inlineStr"/>
    </row>
    <row r="7" ht="33" customHeight="1">
      <c r="A7" s="9" t="inlineStr">
        <is>
          <t>A-06</t>
        </is>
      </c>
      <c r="B7" s="9" t="inlineStr">
        <is>
          <t>Assumption</t>
        </is>
      </c>
      <c r="C7" s="17" t="inlineStr">
        <is>
          <t>Each person has one role. A user cannot be both passenger and driver.</t>
        </is>
      </c>
      <c r="D7" s="17" t="inlineStr">
        <is>
          <t>Simplifies authorization.</t>
        </is>
      </c>
      <c r="E7" s="17" t="inlineStr"/>
      <c r="F7" s="17" t="inlineStr">
        <is>
          <t>NFR-SEC-03</t>
        </is>
      </c>
      <c r="G7" s="15" t="inlineStr">
        <is>
          <t>Proposed</t>
        </is>
      </c>
      <c r="H7" s="9" t="inlineStr">
        <is>
          <t>2026-09-23</t>
        </is>
      </c>
      <c r="I7" s="16" t="inlineStr"/>
    </row>
    <row r="8" ht="33" customHeight="1">
      <c r="A8" s="14" t="inlineStr">
        <is>
          <t>A-07</t>
        </is>
      </c>
      <c r="B8" s="14" t="inlineStr">
        <is>
          <t>Assumption</t>
        </is>
      </c>
      <c r="C8" s="13" t="inlineStr">
        <is>
          <t>Pooling is opt-in per request, and the default is on.</t>
        </is>
      </c>
      <c r="D8" s="13" t="inlineStr">
        <is>
          <t>PRD says "when it makes sense". Privacy-minded passengers can opt out.</t>
        </is>
      </c>
      <c r="E8" s="13" t="inlineStr"/>
      <c r="F8" s="13" t="inlineStr">
        <is>
          <t>FR-POOL-04, BR-02</t>
        </is>
      </c>
      <c r="G8" s="15" t="inlineStr">
        <is>
          <t>Proposed</t>
        </is>
      </c>
      <c r="H8" s="14" t="inlineStr">
        <is>
          <t>2026-09-23</t>
        </is>
      </c>
      <c r="I8" s="16" t="inlineStr"/>
    </row>
    <row r="9" ht="33" customHeight="1">
      <c r="A9" s="9" t="inlineStr">
        <is>
          <t>A-08</t>
        </is>
      </c>
      <c r="B9" s="9" t="inlineStr">
        <is>
          <t>Assumption</t>
        </is>
      </c>
      <c r="C9" s="17" t="inlineStr">
        <is>
          <t>Arrival and start are pool-level, because members share the pickup zone. Drop-off is per passenger.</t>
        </is>
      </c>
      <c r="D9" s="17" t="inlineStr">
        <is>
          <t>Real trips drop riders at different points.</t>
        </is>
      </c>
      <c r="E9" s="17" t="inlineStr"/>
      <c r="F9" s="17" t="inlineStr">
        <is>
          <t>FR-DRV-07, FR-DRV-08, FR-DRV-09</t>
        </is>
      </c>
      <c r="G9" s="15" t="inlineStr">
        <is>
          <t>Proposed</t>
        </is>
      </c>
      <c r="H9" s="9" t="inlineStr">
        <is>
          <t>2026-09-23</t>
        </is>
      </c>
      <c r="I9" s="16" t="inlineStr"/>
    </row>
    <row r="10" ht="33" customHeight="1">
      <c r="A10" s="14" t="inlineStr">
        <is>
          <t>A-09</t>
        </is>
      </c>
      <c r="B10" s="14" t="inlineStr">
        <is>
          <t>Assumption</t>
        </is>
      </c>
      <c r="C10" s="13" t="inlineStr">
        <is>
          <t>A passenger sees that the ride is shared and the number of co-riders, but not their names, destinations or fares.</t>
        </is>
      </c>
      <c r="D10" s="13" t="inlineStr">
        <is>
          <t>PRD §2: "their own fare and status, not anyone else's".</t>
        </is>
      </c>
      <c r="E10" s="13" t="inlineStr"/>
      <c r="F10" s="13" t="inlineStr">
        <is>
          <t>FR-PAX-06</t>
        </is>
      </c>
      <c r="G10" s="15" t="inlineStr">
        <is>
          <t>Proposed</t>
        </is>
      </c>
      <c r="H10" s="14" t="inlineStr">
        <is>
          <t>2026-09-23</t>
        </is>
      </c>
      <c r="I10" s="16" t="inlineStr"/>
    </row>
    <row r="11" ht="33" customHeight="1">
      <c r="A11" s="9" t="inlineStr">
        <is>
          <t>A-10</t>
        </is>
      </c>
      <c r="B11" s="9" t="inlineStr">
        <is>
          <t>Assumption</t>
        </is>
      </c>
      <c r="C11" s="17" t="inlineStr">
        <is>
          <t>The driver sees each member's name, destination, seats, fare and payment method.</t>
        </is>
      </c>
      <c r="D11" s="17" t="inlineStr">
        <is>
          <t>Needed to run the trip and collect cash.</t>
        </is>
      </c>
      <c r="E11" s="17" t="inlineStr"/>
      <c r="F11" s="17" t="inlineStr">
        <is>
          <t>FR-DRV-06</t>
        </is>
      </c>
      <c r="G11" s="15" t="inlineStr">
        <is>
          <t>Proposed</t>
        </is>
      </c>
      <c r="H11" s="9" t="inlineStr">
        <is>
          <t>2026-09-23</t>
        </is>
      </c>
      <c r="I11" s="16" t="inlineStr"/>
    </row>
    <row r="12" ht="33" customHeight="1">
      <c r="A12" s="14" t="inlineStr">
        <is>
          <t>A-11</t>
        </is>
      </c>
      <c r="B12" s="14" t="inlineStr">
        <is>
          <t>Assumption</t>
        </is>
      </c>
      <c r="C12" s="13" t="inlineStr">
        <is>
          <t>Clients refresh by polling every 3–5 s. There are no WebSockets in the MVP.</t>
        </is>
      </c>
      <c r="D12" s="13" t="inlineStr">
        <is>
          <t>PRD §9: avoid complexity without a reason. Polling is enough at MVP scale.</t>
        </is>
      </c>
      <c r="E12" s="13" t="inlineStr"/>
      <c r="F12" s="13" t="inlineStr">
        <is>
          <t>FR-PAX-07, NFR-PERF-03</t>
        </is>
      </c>
      <c r="G12" s="15" t="inlineStr">
        <is>
          <t>Proposed</t>
        </is>
      </c>
      <c r="H12" s="14" t="inlineStr">
        <is>
          <t>2026-09-23</t>
        </is>
      </c>
      <c r="I12" s="16" t="inlineStr"/>
    </row>
    <row r="13" ht="33" customHeight="1">
      <c r="A13" s="9" t="inlineStr">
        <is>
          <t>A-12</t>
        </is>
      </c>
      <c r="B13" s="9" t="inlineStr">
        <is>
          <t>Assumption</t>
        </is>
      </c>
      <c r="C13" s="17" t="inlineStr">
        <is>
          <t>New members can join only while the pool is OPEN, i.e. before the driver arrives.</t>
        </is>
      </c>
      <c r="D13" s="17" t="inlineStr">
        <is>
          <t>Avoids delaying passengers who are already waiting.</t>
        </is>
      </c>
      <c r="E13" s="17" t="inlineStr"/>
      <c r="F13" s="17" t="inlineStr">
        <is>
          <t>FR-POOL-05</t>
        </is>
      </c>
      <c r="G13" s="15" t="inlineStr">
        <is>
          <t>Proposed</t>
        </is>
      </c>
      <c r="H13" s="9" t="inlineStr">
        <is>
          <t>2026-09-23</t>
        </is>
      </c>
      <c r="I13" s="16" t="inlineStr"/>
    </row>
    <row r="14" ht="18" customHeight="1">
      <c r="A14" s="14" t="inlineStr">
        <is>
          <t>A-13</t>
        </is>
      </c>
      <c r="B14" s="14" t="inlineStr">
        <is>
          <t>Assumption</t>
        </is>
      </c>
      <c r="C14" s="13" t="inlineStr">
        <is>
          <t>An unmatched request expires after 15 minutes.</t>
        </is>
      </c>
      <c r="D14" s="13" t="inlineStr">
        <is>
          <t>Stops stale requests piling up in drivers' lists.</t>
        </is>
      </c>
      <c r="E14" s="13" t="inlineStr"/>
      <c r="F14" s="13" t="inlineStr">
        <is>
          <t>NFR-REL-04</t>
        </is>
      </c>
      <c r="G14" s="15" t="inlineStr">
        <is>
          <t>Proposed</t>
        </is>
      </c>
      <c r="H14" s="14" t="inlineStr">
        <is>
          <t>2026-09-23</t>
        </is>
      </c>
      <c r="I14" s="16" t="inlineStr"/>
    </row>
    <row r="15" ht="48" customHeight="1">
      <c r="A15" s="9" t="inlineStr">
        <is>
          <t>A-14</t>
        </is>
      </c>
      <c r="B15" s="9" t="inlineStr">
        <is>
          <t>Assumption</t>
        </is>
      </c>
      <c r="C15" s="17" t="inlineStr">
        <is>
          <t>The wallet balance is checked at request time and debited at completion. If the balance is short at completion, payment falls back to cash.</t>
        </is>
      </c>
      <c r="D15" s="17" t="inlineStr">
        <is>
          <t>There is no pre-authorisation hold in a simulated wallet.</t>
        </is>
      </c>
      <c r="E15" s="17" t="inlineStr"/>
      <c r="F15" s="17" t="inlineStr">
        <is>
          <t>BR-15, FR-PAX-05</t>
        </is>
      </c>
      <c r="G15" s="15" t="inlineStr">
        <is>
          <t>Proposed</t>
        </is>
      </c>
      <c r="H15" s="9" t="inlineStr">
        <is>
          <t>2026-09-23</t>
        </is>
      </c>
      <c r="I15" s="16" t="inlineStr"/>
    </row>
    <row r="16" ht="48" customHeight="1">
      <c r="A16" s="14" t="inlineStr">
        <is>
          <t>A-15</t>
        </is>
      </c>
      <c r="B16" s="14" t="inlineStr">
        <is>
          <t>Assumption</t>
        </is>
      </c>
      <c r="C16" s="13" t="inlineStr">
        <is>
          <t>An additional driver persona, Kamal with the Tesla "Toofan", is added solely to test two drivers accepting the same request.</t>
        </is>
      </c>
      <c r="D16" s="13" t="inlineStr">
        <is>
          <t>That race condition requires two drivers. The PRD personas are unchanged.</t>
        </is>
      </c>
      <c r="E16" s="13" t="inlineStr"/>
      <c r="F16" s="13" t="inlineStr">
        <is>
          <t>NFR-CON-01, FR-POOL-09</t>
        </is>
      </c>
      <c r="G16" s="15" t="inlineStr">
        <is>
          <t>Proposed</t>
        </is>
      </c>
      <c r="H16" s="14" t="inlineStr">
        <is>
          <t>2026-09-23</t>
        </is>
      </c>
      <c r="I16" s="16" t="inlineStr"/>
    </row>
    <row r="17" ht="33" customHeight="1">
      <c r="A17" s="9" t="inlineStr">
        <is>
          <t>A-16</t>
        </is>
      </c>
      <c r="B17" s="9" t="inlineStr">
        <is>
          <t>Assumption</t>
        </is>
      </c>
      <c r="C17" s="17" t="inlineStr">
        <is>
          <t>Times are stored in UTC and displayed in Asia/Dhaka (UTC+6).</t>
        </is>
      </c>
      <c r="D17" s="17" t="inlineStr">
        <is>
          <t>Standard practice.</t>
        </is>
      </c>
      <c r="E17" s="17" t="inlineStr"/>
      <c r="F17" s="17" t="inlineStr">
        <is>
          <t>—</t>
        </is>
      </c>
      <c r="G17" s="15" t="inlineStr">
        <is>
          <t>Proposed</t>
        </is>
      </c>
      <c r="H17" s="9" t="inlineStr">
        <is>
          <t>2026-09-23</t>
        </is>
      </c>
      <c r="I17" s="16" t="inlineStr"/>
    </row>
    <row r="18" ht="33" customHeight="1">
      <c r="A18" s="14" t="inlineStr">
        <is>
          <t>A-17</t>
        </is>
      </c>
      <c r="B18" s="14" t="inlineStr">
        <is>
          <t>Assumption</t>
        </is>
      </c>
      <c r="C18" s="13" t="inlineStr">
        <is>
          <t>Only BDT is used, with a single rate card for all zones and times.</t>
        </is>
      </c>
      <c r="D18" s="13" t="inlineStr">
        <is>
          <t>PRD asks for an understandable model.</t>
        </is>
      </c>
      <c r="E18" s="13" t="inlineStr"/>
      <c r="F18" s="13" t="inlineStr">
        <is>
          <t>BR-11</t>
        </is>
      </c>
      <c r="G18" s="15" t="inlineStr">
        <is>
          <t>Proposed</t>
        </is>
      </c>
      <c r="H18" s="14" t="inlineStr">
        <is>
          <t>2026-09-23</t>
        </is>
      </c>
      <c r="I18" s="16" t="inlineStr"/>
    </row>
    <row r="19" ht="33" customHeight="1">
      <c r="A19" s="9" t="inlineStr">
        <is>
          <t>A-18</t>
        </is>
      </c>
      <c r="B19" s="9" t="inlineStr">
        <is>
          <t>Assumption</t>
        </is>
      </c>
      <c r="C19" s="17" t="inlineStr">
        <is>
          <t>Ratings, the admin console, notifications and surge pricing are out of scope.</t>
        </is>
      </c>
      <c r="D19" s="17" t="inlineStr">
        <is>
          <t>PRD lists them as optional. MVP focus.</t>
        </is>
      </c>
      <c r="E19" s="17" t="inlineStr"/>
      <c r="F19" s="17" t="inlineStr">
        <is>
          <t>FR-AUTH-07</t>
        </is>
      </c>
      <c r="G19" s="15" t="inlineStr">
        <is>
          <t>Proposed</t>
        </is>
      </c>
      <c r="H19" s="9" t="inlineStr">
        <is>
          <t>2026-09-23</t>
        </is>
      </c>
      <c r="I19" s="16" t="inlineStr"/>
    </row>
    <row r="20" ht="33" customHeight="1">
      <c r="A20" s="14" t="inlineStr">
        <is>
          <t>A-19</t>
        </is>
      </c>
      <c r="B20" s="14" t="inlineStr">
        <is>
          <t>Assumption</t>
        </is>
      </c>
      <c r="C20" s="13" t="inlineStr">
        <is>
          <t>Gender is self-declared and optional, with no verification. Misdeclaration is a known limitation.</t>
        </is>
      </c>
      <c r="D20" s="13" t="inlineStr">
        <is>
          <t>Identity verification (KYC) is out of scope (A-05, A-18).</t>
        </is>
      </c>
      <c r="E20" s="13" t="inlineStr"/>
      <c r="F20" s="13" t="inlineStr">
        <is>
          <t>FR-AUTH-01, FR-PAX-11</t>
        </is>
      </c>
      <c r="G20" s="15" t="inlineStr">
        <is>
          <t>Confirmed</t>
        </is>
      </c>
      <c r="H20" s="14" t="inlineStr">
        <is>
          <t>2026-09-24</t>
        </is>
      </c>
      <c r="I20" s="16" t="inlineStr">
        <is>
          <t>Confirmed by product owner (optional gender)</t>
        </is>
      </c>
    </row>
    <row r="21" ht="48" customHeight="1">
      <c r="A21" s="9" t="inlineStr">
        <is>
          <t>A-20</t>
        </is>
      </c>
      <c r="B21" s="9" t="inlineStr">
        <is>
          <t>Assumption</t>
        </is>
      </c>
      <c r="C21" s="17" t="inlineStr">
        <is>
          <t>Gender is personal data. It is never shown to co-riders or included in their API responses. Drivers see only the pool's restriction badge.</t>
        </is>
      </c>
      <c r="D21" s="17" t="inlineStr">
        <is>
          <t>Data minimisation (A-09, NFR-SEC-03).</t>
        </is>
      </c>
      <c r="E21" s="17" t="inlineStr"/>
      <c r="F21" s="17" t="inlineStr">
        <is>
          <t>FR-PAX-11, NFR-SEC-03</t>
        </is>
      </c>
      <c r="G21" s="15" t="inlineStr">
        <is>
          <t>Proposed</t>
        </is>
      </c>
      <c r="H21" s="9" t="inlineStr">
        <is>
          <t>2026-09-24</t>
        </is>
      </c>
      <c r="I21" s="16" t="inlineStr"/>
    </row>
    <row r="22" ht="33" customHeight="1">
      <c r="A22" s="14" t="inlineStr">
        <is>
          <t>A-21</t>
        </is>
      </c>
      <c r="B22" s="14" t="inlineStr">
        <is>
          <t>Assumption</t>
        </is>
      </c>
      <c r="C22" s="13" t="inlineStr">
        <is>
          <t>The same-gender option restricts co-riders only, not the driver.</t>
        </is>
      </c>
      <c r="D22" s="13" t="inlineStr">
        <is>
          <t>Both driver personas are male; a driver rule would make restricted rides unmatchable in the MVP.</t>
        </is>
      </c>
      <c r="E22" s="13" t="inlineStr"/>
      <c r="F22" s="13" t="inlineStr">
        <is>
          <t>BR-18</t>
        </is>
      </c>
      <c r="G22" s="15" t="inlineStr">
        <is>
          <t>Confirmed</t>
        </is>
      </c>
      <c r="H22" s="14" t="inlineStr">
        <is>
          <t>2026-09-24</t>
        </is>
      </c>
      <c r="I22" s="16" t="inlineStr">
        <is>
          <t>Confirmed by product owner (passengers only)</t>
        </is>
      </c>
    </row>
    <row r="23" ht="33" customHeight="1">
      <c r="A23" s="9" t="inlineStr">
        <is>
          <t>D-01</t>
        </is>
      </c>
      <c r="B23" s="9" t="inlineStr">
        <is>
          <t>Decision</t>
        </is>
      </c>
      <c r="C23" s="17" t="inlineStr">
        <is>
          <t>The SRS follows ISO/IEC/IEEE 29148 as Markdown in the repo, with an Excel RTM.</t>
        </is>
      </c>
      <c r="D23" s="17" t="inlineStr">
        <is>
          <t>Reviewable in git history, sits next to the code, and the industry-standard structure.</t>
        </is>
      </c>
      <c r="E23" s="17" t="inlineStr">
        <is>
          <t>Word document; Excel only</t>
        </is>
      </c>
      <c r="F23" s="17" t="inlineStr">
        <is>
          <t>DR-18</t>
        </is>
      </c>
      <c r="G23" s="15" t="inlineStr">
        <is>
          <t>Confirmed</t>
        </is>
      </c>
      <c r="H23" s="9" t="inlineStr">
        <is>
          <t>2026-09-23</t>
        </is>
      </c>
      <c r="I23" s="16" t="inlineStr">
        <is>
          <t>Confirmed by product owner in SRS planning session</t>
        </is>
      </c>
    </row>
    <row r="24" ht="33" customHeight="1">
      <c r="A24" s="14" t="inlineStr">
        <is>
          <t>D-02</t>
        </is>
      </c>
      <c r="B24" s="14" t="inlineStr">
        <is>
          <t>Decision</t>
        </is>
      </c>
      <c r="C24" s="13" t="inlineStr">
        <is>
          <t>Geography is zones plus a distance table plus an adjacency list.</t>
        </is>
      </c>
      <c r="D24" s="13" t="inlineStr">
        <is>
          <t>Hand-verifiable fares and no dependency on a map service.</t>
        </is>
      </c>
      <c r="E24" s="13" t="inlineStr">
        <is>
          <t>Lat/long with haversine; a free map</t>
        </is>
      </c>
      <c r="F24" s="13" t="inlineStr">
        <is>
          <t>BR-08, BR-09</t>
        </is>
      </c>
      <c r="G24" s="15" t="inlineStr">
        <is>
          <t>Confirmed</t>
        </is>
      </c>
      <c r="H24" s="14" t="inlineStr">
        <is>
          <t>2026-09-23</t>
        </is>
      </c>
      <c r="I24" s="16" t="inlineStr">
        <is>
          <t>Confirmed by product owner in SRS planning session</t>
        </is>
      </c>
    </row>
    <row r="25" ht="33" customHeight="1">
      <c r="A25" s="9" t="inlineStr">
        <is>
          <t>D-03</t>
        </is>
      </c>
      <c r="B25" s="9" t="inlineStr">
        <is>
          <t>Decision</t>
        </is>
      </c>
      <c r="C25" s="17" t="inlineStr">
        <is>
          <t>Matching uses the same pickup zone, same or adjacent destinations, and a 10-minute window.</t>
        </is>
      </c>
      <c r="D25" s="17" t="inlineStr">
        <is>
          <t>Simple, transparent and consistent, and it handles the overlapping Nusrat/Rafiq trips.</t>
        </is>
      </c>
      <c r="E25" s="17" t="inlineStr">
        <is>
          <t>Detour percentage; same pickup only</t>
        </is>
      </c>
      <c r="F25" s="17" t="inlineStr">
        <is>
          <t>BR-02</t>
        </is>
      </c>
      <c r="G25" s="15" t="inlineStr">
        <is>
          <t>Confirmed</t>
        </is>
      </c>
      <c r="H25" s="9" t="inlineStr">
        <is>
          <t>2026-09-23</t>
        </is>
      </c>
      <c r="I25" s="16" t="inlineStr">
        <is>
          <t>Confirmed by product owner in SRS planning session</t>
        </is>
      </c>
    </row>
    <row r="26" ht="33" customHeight="1">
      <c r="A26" s="14" t="inlineStr">
        <is>
          <t>D-04</t>
        </is>
      </c>
      <c r="B26" s="14" t="inlineStr">
        <is>
          <t>Decision</t>
        </is>
      </c>
      <c r="C26" s="13" t="inlineStr">
        <is>
          <t>The driver accepts each request explicitly into the pool.</t>
        </is>
      </c>
      <c r="D26" s="13" t="inlineStr">
        <is>
          <t>Matches the PRD's driver flow ("accept a ride/pool") and gives the driver control.</t>
        </is>
      </c>
      <c r="E26" s="13" t="inlineStr">
        <is>
          <t>Auto-join after the first accept; full auto-dispatch</t>
        </is>
      </c>
      <c r="F26" s="13" t="inlineStr">
        <is>
          <t>FR-DRV-05, BR-03</t>
        </is>
      </c>
      <c r="G26" s="15" t="inlineStr">
        <is>
          <t>Confirmed</t>
        </is>
      </c>
      <c r="H26" s="14" t="inlineStr">
        <is>
          <t>2026-09-23</t>
        </is>
      </c>
      <c r="I26" s="16" t="inlineStr">
        <is>
          <t>Confirmed by product owner in SRS planning session</t>
        </is>
      </c>
    </row>
    <row r="27" ht="33" customHeight="1">
      <c r="A27" s="9" t="inlineStr">
        <is>
          <t>D-05</t>
        </is>
      </c>
      <c r="B27" s="9" t="inlineStr">
        <is>
          <t>Decision</t>
        </is>
      </c>
      <c r="C27" s="17" t="inlineStr">
        <is>
          <t>Money is stored as integer paisa (BIGINT).</t>
        </is>
      </c>
      <c r="D27" s="17" t="inlineStr">
        <is>
          <t>Exact integer arithmetic, no float bugs in JS, and identical results in JS and SQL.</t>
        </is>
      </c>
      <c r="E27" s="17" t="inlineStr">
        <is>
          <t>DECIMAL(10,2)</t>
        </is>
      </c>
      <c r="F27" s="17" t="inlineStr">
        <is>
          <t>BR-14, FR-FARE-06</t>
        </is>
      </c>
      <c r="G27" s="15" t="inlineStr">
        <is>
          <t>Confirmed</t>
        </is>
      </c>
      <c r="H27" s="9" t="inlineStr">
        <is>
          <t>2026-09-23</t>
        </is>
      </c>
      <c r="I27" s="16" t="inlineStr">
        <is>
          <t>Confirmed by product owner in SRS planning session</t>
        </is>
      </c>
    </row>
    <row r="28" ht="33" customHeight="1">
      <c r="A28" s="14" t="inlineStr">
        <is>
          <t>D-06</t>
        </is>
      </c>
      <c r="B28" s="14" t="inlineStr">
        <is>
          <t>Decision</t>
        </is>
      </c>
      <c r="C28" s="13" t="inlineStr">
        <is>
          <t>Fare = base + per-km charge − 20 % of the distance charge when pooled, per seat.</t>
        </is>
      </c>
      <c r="D28" s="13" t="inlineStr">
        <is>
          <t>Easy to check by hand, the discount scales with distance, and the base covers the pickup cost.</t>
        </is>
      </c>
      <c r="E28" s="13" t="inlineStr">
        <is>
          <t>Flat discount; split the shared leg</t>
        </is>
      </c>
      <c r="F28" s="13" t="inlineStr">
        <is>
          <t>BR-10, BR-11</t>
        </is>
      </c>
      <c r="G28" s="15" t="inlineStr">
        <is>
          <t>Confirmed</t>
        </is>
      </c>
      <c r="H28" s="14" t="inlineStr">
        <is>
          <t>2026-09-23</t>
        </is>
      </c>
      <c r="I28" s="16" t="inlineStr">
        <is>
          <t>Confirmed by product owner in SRS planning session</t>
        </is>
      </c>
    </row>
    <row r="29" ht="33" customHeight="1">
      <c r="A29" s="9" t="inlineStr">
        <is>
          <t>D-07</t>
        </is>
      </c>
      <c r="B29" s="9" t="inlineStr">
        <is>
          <t>Decision</t>
        </is>
      </c>
      <c r="C29" s="17" t="inlineStr">
        <is>
          <t>The fare locks at trip start.</t>
        </is>
      </c>
      <c r="D29" s="17" t="inlineStr">
        <is>
          <t>The discount is given only when the ride really was shared, and the price is fixed during the ride.</t>
        </is>
      </c>
      <c r="E29" s="17" t="inlineStr">
        <is>
          <t>Lock at match; compute at completion</t>
        </is>
      </c>
      <c r="F29" s="17" t="inlineStr">
        <is>
          <t>BR-12, FR-FARE-03</t>
        </is>
      </c>
      <c r="G29" s="15" t="inlineStr">
        <is>
          <t>Confirmed</t>
        </is>
      </c>
      <c r="H29" s="9" t="inlineStr">
        <is>
          <t>2026-09-23</t>
        </is>
      </c>
      <c r="I29" s="16" t="inlineStr">
        <is>
          <t>Confirmed by product owner in SRS planning session</t>
        </is>
      </c>
    </row>
    <row r="30" ht="33" customHeight="1">
      <c r="A30" s="14" t="inlineStr">
        <is>
          <t>D-08</t>
        </is>
      </c>
      <c r="B30" s="14" t="inlineStr">
        <is>
          <t>Decision</t>
        </is>
      </c>
      <c r="C30" s="13" t="inlineStr">
        <is>
          <t>Cancellation is free before arrival, ৳20 after arrival, and not allowed after start.</t>
        </is>
      </c>
      <c r="D30" s="13" t="inlineStr">
        <is>
          <t>Fair to both sides and discourages no-shows.</t>
        </is>
      </c>
      <c r="E30" s="13" t="inlineStr">
        <is>
          <t>Free until start; only before match</t>
        </is>
      </c>
      <c r="F30" s="13" t="inlineStr">
        <is>
          <t>BR-07</t>
        </is>
      </c>
      <c r="G30" s="15" t="inlineStr">
        <is>
          <t>Confirmed</t>
        </is>
      </c>
      <c r="H30" s="14" t="inlineStr">
        <is>
          <t>2026-09-23</t>
        </is>
      </c>
      <c r="I30" s="16" t="inlineStr">
        <is>
          <t>Confirmed by product owner in SRS planning session</t>
        </is>
      </c>
    </row>
    <row r="31" ht="33" customHeight="1">
      <c r="A31" s="9" t="inlineStr">
        <is>
          <t>D-09</t>
        </is>
      </c>
      <c r="B31" s="9" t="inlineStr">
        <is>
          <t>Decision</t>
        </is>
      </c>
      <c r="C31" s="17" t="inlineStr">
        <is>
          <t>Payment is cash or the simulated TeslaPay wallet with a ledger.</t>
        </is>
      </c>
      <c r="D31" s="17" t="inlineStr">
        <is>
          <t>Covers both PRD options and shows ledger integrity.</t>
        </is>
      </c>
      <c r="E31" s="17" t="inlineStr">
        <is>
          <t>Cash only; wallet only</t>
        </is>
      </c>
      <c r="F31" s="17" t="inlineStr">
        <is>
          <t>FR-PAY-01…06</t>
        </is>
      </c>
      <c r="G31" s="15" t="inlineStr">
        <is>
          <t>Confirmed</t>
        </is>
      </c>
      <c r="H31" s="9" t="inlineStr">
        <is>
          <t>2026-09-23</t>
        </is>
      </c>
      <c r="I31" s="16" t="inlineStr">
        <is>
          <t>Confirmed by product owner in SRS planning session</t>
        </is>
      </c>
    </row>
    <row r="32" ht="33" customHeight="1">
      <c r="A32" s="14" t="inlineStr">
        <is>
          <t>D-10</t>
        </is>
      </c>
      <c r="B32" s="14" t="inlineStr">
        <is>
          <t>Decision</t>
        </is>
      </c>
      <c r="C32" s="13" t="inlineStr">
        <is>
          <t>The API style is REST with action sub-resources for transitions.</t>
        </is>
      </c>
      <c r="D32" s="13" t="inlineStr">
        <is>
          <t>Simple resources, explicit guarded commands, and easy to test with curl or HTTP clients.</t>
        </is>
      </c>
      <c r="E32" s="13" t="inlineStr">
        <is>
          <t>GraphQL; RPC</t>
        </is>
      </c>
      <c r="F32" s="13" t="inlineStr">
        <is>
          <t>§8.2</t>
        </is>
      </c>
      <c r="G32" s="15" t="inlineStr">
        <is>
          <t>Proposed</t>
        </is>
      </c>
      <c r="H32" s="14" t="inlineStr">
        <is>
          <t>2026-09-23</t>
        </is>
      </c>
      <c r="I32" s="16" t="inlineStr"/>
    </row>
    <row r="33" ht="18" customHeight="1">
      <c r="A33" s="9" t="inlineStr">
        <is>
          <t>D-11</t>
        </is>
      </c>
      <c r="B33" s="9" t="inlineStr">
        <is>
          <t>Decision</t>
        </is>
      </c>
      <c r="C33" s="17" t="inlineStr">
        <is>
          <t>Status updates use polling.</t>
        </is>
      </c>
      <c r="D33" s="17" t="inlineStr">
        <is>
          <t>No extra infrastructure; enough for the MVP (A-11).</t>
        </is>
      </c>
      <c r="E33" s="17" t="inlineStr">
        <is>
          <t>WebSockets, SSE</t>
        </is>
      </c>
      <c r="F33" s="17" t="inlineStr">
        <is>
          <t>FR-PAX-07</t>
        </is>
      </c>
      <c r="G33" s="15" t="inlineStr">
        <is>
          <t>Proposed</t>
        </is>
      </c>
      <c r="H33" s="9" t="inlineStr">
        <is>
          <t>2026-09-23</t>
        </is>
      </c>
      <c r="I33" s="16" t="inlineStr"/>
    </row>
    <row r="34" ht="33" customHeight="1">
      <c r="A34" s="14" t="inlineStr">
        <is>
          <t>D-12</t>
        </is>
      </c>
      <c r="B34" s="14" t="inlineStr">
        <is>
          <t>Decision</t>
        </is>
      </c>
      <c r="C34" s="13" t="inlineStr">
        <is>
          <t>There are two linked state machines (ride request and pool).</t>
        </is>
      </c>
      <c r="D34" s="13" t="inlineStr">
        <is>
          <t>Pooled trips have passenger-level and trip-level events that cannot share one status.</t>
        </is>
      </c>
      <c r="E34" s="13" t="inlineStr">
        <is>
          <t>A single ride status</t>
        </is>
      </c>
      <c r="F34" s="13" t="inlineStr">
        <is>
          <t>§5, BR-06</t>
        </is>
      </c>
      <c r="G34" s="15" t="inlineStr">
        <is>
          <t>Proposed</t>
        </is>
      </c>
      <c r="H34" s="14" t="inlineStr">
        <is>
          <t>2026-09-23</t>
        </is>
      </c>
      <c r="I34" s="16" t="inlineStr">
        <is>
          <t>Chosen by product owner in architecture session</t>
        </is>
      </c>
    </row>
    <row r="35" ht="48" customHeight="1">
      <c r="A35" s="9" t="inlineStr">
        <is>
          <t>D-13</t>
        </is>
      </c>
      <c r="B35" s="9" t="inlineStr">
        <is>
          <t>Decision</t>
        </is>
      </c>
      <c r="C35" s="17" t="inlineStr">
        <is>
          <t>The DBMS is PostgreSQL 16 (ADR-0002).</t>
        </is>
      </c>
      <c r="D35" s="17" t="inlineStr">
        <is>
          <t>CHECK constraints, partial unique indexes, row locks and transactional DDL directly support the integrity rules.</t>
        </is>
      </c>
      <c r="E35" s="17" t="inlineStr">
        <is>
          <t>MySQL, SQLite, MongoDB</t>
        </is>
      </c>
      <c r="F35" s="17" t="inlineStr">
        <is>
          <t>DC-03, NFR-CON-04, ADR-0002</t>
        </is>
      </c>
      <c r="G35" s="15" t="inlineStr">
        <is>
          <t>Proposed</t>
        </is>
      </c>
      <c r="H35" s="9" t="inlineStr">
        <is>
          <t>2026-09-23</t>
        </is>
      </c>
      <c r="I35" s="16" t="inlineStr">
        <is>
          <t>Chosen by product owner in architecture session</t>
        </is>
      </c>
    </row>
    <row r="36" ht="33" customHeight="1">
      <c r="A36" s="14" t="inlineStr">
        <is>
          <t>D-14</t>
        </is>
      </c>
      <c r="B36" s="14" t="inlineStr">
        <is>
          <t>Decision</t>
        </is>
      </c>
      <c r="C36" s="13" t="inlineStr">
        <is>
          <t>The system is a modular monolith: Next.js web + one Express API + PostgreSQL (ADR-0001).</t>
        </is>
      </c>
      <c r="D36" s="13" t="inlineStr">
        <is>
          <t>Every invariant fits in one ACID transaction, with no distributed consistency (PRD §9).</t>
        </is>
      </c>
      <c r="E36" s="13" t="inlineStr">
        <is>
          <t>Next.js-only; microservices</t>
        </is>
      </c>
      <c r="F36" s="13" t="inlineStr">
        <is>
          <t>DC-05, DR-14</t>
        </is>
      </c>
      <c r="G36" s="15" t="inlineStr">
        <is>
          <t>Proposed</t>
        </is>
      </c>
      <c r="H36" s="14" t="inlineStr">
        <is>
          <t>2026-09-24</t>
        </is>
      </c>
      <c r="I36" s="16" t="inlineStr">
        <is>
          <t>Chosen by product owner in architecture session</t>
        </is>
      </c>
    </row>
    <row r="37" ht="33" customHeight="1">
      <c r="A37" s="9" t="inlineStr">
        <is>
          <t>D-15</t>
        </is>
      </c>
      <c r="B37" s="9" t="inlineStr">
        <is>
          <t>Decision</t>
        </is>
      </c>
      <c r="C37" s="17" t="inlineStr">
        <is>
          <t>The API is built with Express 5 + TypeScript (ADR-0003).</t>
        </is>
      </c>
      <c r="D37" s="17" t="inlineStr">
        <is>
          <t>No hidden control flow, a large ecosystem, and explicit layering that is simple to trace and maintain.</t>
        </is>
      </c>
      <c r="E37" s="17" t="inlineStr">
        <is>
          <t>NestJS; Fastify</t>
        </is>
      </c>
      <c r="F37" s="17" t="inlineStr">
        <is>
          <t>DC-02, DC-07</t>
        </is>
      </c>
      <c r="G37" s="15" t="inlineStr">
        <is>
          <t>Confirmed</t>
        </is>
      </c>
      <c r="H37" s="9" t="inlineStr">
        <is>
          <t>2026-09-24</t>
        </is>
      </c>
      <c r="I37" s="16" t="inlineStr">
        <is>
          <t>Chosen by product owner in architecture session</t>
        </is>
      </c>
    </row>
    <row r="38" ht="48" customHeight="1">
      <c r="A38" s="14" t="inlineStr">
        <is>
          <t>D-16</t>
        </is>
      </c>
      <c r="B38" s="14" t="inlineStr">
        <is>
          <t>Decision</t>
        </is>
      </c>
      <c r="C38" s="13" t="inlineStr">
        <is>
          <t>Data access uses Prisma, with CHECK constraints, partial unique indexes and triggers in hand-written SQL migrations (ADR-0004).</t>
        </is>
      </c>
      <c r="D38" s="13" t="inlineStr">
        <is>
          <t>Type-safe DX for most queries. Raw SQL is visible exactly where the integrity guarantees are implemented.</t>
        </is>
      </c>
      <c r="E38" s="13" t="inlineStr">
        <is>
          <t>Drizzle; Knex; TypeORM</t>
        </is>
      </c>
      <c r="F38" s="13" t="inlineStr">
        <is>
          <t>NFR-CON-04, NFR-POR-03, NFR-SEC-08</t>
        </is>
      </c>
      <c r="G38" s="15" t="inlineStr">
        <is>
          <t>Confirmed</t>
        </is>
      </c>
      <c r="H38" s="14" t="inlineStr">
        <is>
          <t>2026-09-24</t>
        </is>
      </c>
      <c r="I38" s="16" t="inlineStr">
        <is>
          <t>Chosen by product owner in architecture session</t>
        </is>
      </c>
    </row>
    <row r="39" ht="48" customHeight="1">
      <c r="A39" s="9" t="inlineStr">
        <is>
          <t>D-17</t>
        </is>
      </c>
      <c r="B39" s="9" t="inlineStr">
        <is>
          <t>Decision</t>
        </is>
      </c>
      <c r="C39" s="17" t="inlineStr">
        <is>
          <t>Auth uses opaque DB-backed sessions (SHA-256 hash stored) in an httpOnly cookie, behind a same-origin Next.js /api proxy (ADR-0005).</t>
        </is>
      </c>
      <c r="D39" s="17" t="inlineStr">
        <is>
          <t>Real logout; a DB leak exposes no usable tokens; first-party cookies across different hosts.</t>
        </is>
      </c>
      <c r="E39" s="17" t="inlineStr">
        <is>
          <t>JWT in cookie; Auth.js/Lucia</t>
        </is>
      </c>
      <c r="F39" s="17" t="inlineStr">
        <is>
          <t>FR-AUTH-02, FR-AUTH-03, NFR-SEC-06</t>
        </is>
      </c>
      <c r="G39" s="15" t="inlineStr">
        <is>
          <t>Confirmed</t>
        </is>
      </c>
      <c r="H39" s="9" t="inlineStr">
        <is>
          <t>2026-09-24</t>
        </is>
      </c>
      <c r="I39" s="16" t="inlineStr">
        <is>
          <t>Chosen by product owner in architecture session</t>
        </is>
      </c>
    </row>
    <row r="40" ht="63" customHeight="1">
      <c r="A40" s="14" t="inlineStr">
        <is>
          <t>D-18</t>
        </is>
      </c>
      <c r="B40" s="14" t="inlineStr">
        <is>
          <t>Decision</t>
        </is>
      </c>
      <c r="C40" s="13" t="inlineStr">
        <is>
          <t>Concurrency uses row locks in the fixed order driver → pool → ride → wallet, compare-and-set transitions and DB constraints. Expiry is checked in the accept CAS, plus a 60 s in-process sweeper (ADR-0006).</t>
        </is>
      </c>
      <c r="D40" s="13" t="inlineStr">
        <is>
          <t>Deterministic outcome for the last-seat race, with no extra infrastructure.</t>
        </is>
      </c>
      <c r="E40" s="13" t="inlineStr">
        <is>
          <t>Optimistic versioning; SERIALIZABLE; Redis lock</t>
        </is>
      </c>
      <c r="F40" s="13" t="inlineStr">
        <is>
          <t>NFR-CON-01, NFR-CON-02, NFR-CON-03, NFR-REL-04</t>
        </is>
      </c>
      <c r="G40" s="15" t="inlineStr">
        <is>
          <t>Proposed</t>
        </is>
      </c>
      <c r="H40" s="14" t="inlineStr">
        <is>
          <t>2026-09-24</t>
        </is>
      </c>
      <c r="I40" s="16" t="inlineStr"/>
    </row>
    <row r="41" ht="33" customHeight="1">
      <c r="A41" s="9" t="inlineStr">
        <is>
          <t>D-19</t>
        </is>
      </c>
      <c r="B41" s="9" t="inlineStr">
        <is>
          <t>Decision</t>
        </is>
      </c>
      <c r="C41" s="17" t="inlineStr">
        <is>
          <t>The repo is an npm-workspaces monorepo: apps/web, apps/api, packages/shared (Zod, enums, transition tables) (ADR-0008).</t>
        </is>
      </c>
      <c r="D41" s="17" t="inlineStr">
        <is>
          <t>One source for schemas, enums and transition tables across web and API.</t>
        </is>
      </c>
      <c r="E41" s="17" t="inlineStr">
        <is>
          <t>Turborepo/Nx; two repos</t>
        </is>
      </c>
      <c r="F41" s="17" t="inlineStr">
        <is>
          <t>NFR-MNT-01, NFR-MNT-03</t>
        </is>
      </c>
      <c r="G41" s="15" t="inlineStr">
        <is>
          <t>Proposed</t>
        </is>
      </c>
      <c r="H41" s="9" t="inlineStr">
        <is>
          <t>2026-09-24</t>
        </is>
      </c>
      <c r="I41" s="16" t="inlineStr"/>
    </row>
    <row r="42" ht="48" customHeight="1">
      <c r="A42" s="14" t="inlineStr">
        <is>
          <t>D-20</t>
        </is>
      </c>
      <c r="B42" s="14" t="inlineStr">
        <is>
          <t>Decision</t>
        </is>
      </c>
      <c r="C42" s="13" t="inlineStr">
        <is>
          <t>Deployment is Docker Compose now, then Vercel + Railway + Supabase on free tiers, with a verify-no-payment guardrail (ADR-0009).</t>
        </is>
      </c>
      <c r="D42" s="13" t="inlineStr">
        <is>
          <t>The primary run path (docker compose up) never depends on third parties, and the same images run in the cloud.</t>
        </is>
      </c>
      <c r="E42" s="13" t="inlineStr">
        <is>
          <t>Render-only; Vercel + Render + Neon</t>
        </is>
      </c>
      <c r="F42" s="13" t="inlineStr">
        <is>
          <t>NFR-POR-01, NFR-POR-04, DC-04, DR-11</t>
        </is>
      </c>
      <c r="G42" s="15" t="inlineStr">
        <is>
          <t>Confirmed</t>
        </is>
      </c>
      <c r="H42" s="14" t="inlineStr">
        <is>
          <t>2026-09-24</t>
        </is>
      </c>
      <c r="I42" s="16" t="inlineStr">
        <is>
          <t>Chosen by product owner in architecture session</t>
        </is>
      </c>
    </row>
    <row r="43" ht="33" customHeight="1">
      <c r="A43" s="9" t="inlineStr">
        <is>
          <t>D-21</t>
        </is>
      </c>
      <c r="B43" s="9" t="inlineStr">
        <is>
          <t>Decision</t>
        </is>
      </c>
      <c r="C43" s="17" t="inlineStr">
        <is>
          <t>Tests use Vitest + Supertest against a real PostgreSQL test DB (ADR-0011).</t>
        </is>
      </c>
      <c r="D43" s="17" t="inlineStr">
        <is>
          <t>Locks and constraints can only be proven against the real engine.</t>
        </is>
      </c>
      <c r="E43" s="17" t="inlineStr">
        <is>
          <t>Jest; mocks/SQLite; Testcontainers</t>
        </is>
      </c>
      <c r="F43" s="17" t="inlineStr">
        <is>
          <t>DR-10, NFR-MNT-04</t>
        </is>
      </c>
      <c r="G43" s="15" t="inlineStr">
        <is>
          <t>Proposed</t>
        </is>
      </c>
      <c r="H43" s="9" t="inlineStr">
        <is>
          <t>2026-09-24</t>
        </is>
      </c>
      <c r="I43" s="16" t="n"/>
    </row>
    <row r="44" ht="33" customHeight="1">
      <c r="A44" s="14" t="inlineStr">
        <is>
          <t>D-22</t>
        </is>
      </c>
      <c r="B44" s="14" t="inlineStr">
        <is>
          <t>Decision</t>
        </is>
      </c>
      <c r="C44" s="13" t="inlineStr">
        <is>
          <t>The frontend uses the Next.js App Router + TanStack Query (polling) + react-hook-form + Tailwind CSS (ADR-0012).</t>
        </is>
      </c>
      <c r="D44" s="13" t="inlineStr">
        <is>
          <t>Built-in loading/error states and polling; a small, maintainable UI stack.</t>
        </is>
      </c>
      <c r="E44" s="13" t="inlineStr">
        <is>
          <t>Vite + React Router; SWR; component libraries</t>
        </is>
      </c>
      <c r="F44" s="13" t="inlineStr">
        <is>
          <t>DC-01, FR-PAX-07, NFR-USA-01</t>
        </is>
      </c>
      <c r="G44" s="15" t="inlineStr">
        <is>
          <t>Proposed</t>
        </is>
      </c>
      <c r="H44" s="14" t="inlineStr">
        <is>
          <t>2026-09-24</t>
        </is>
      </c>
      <c r="I44" s="16" t="n"/>
    </row>
    <row r="45" ht="48" customHeight="1">
      <c r="A45" s="9" t="inlineStr">
        <is>
          <t>D-23</t>
        </is>
      </c>
      <c r="B45" s="9" t="inlineStr">
        <is>
          <t>Decision</t>
        </is>
      </c>
      <c r="C45" s="17" t="inlineStr">
        <is>
          <t>Schema choices: pool_members link table, pools.capacity snapshot, driver_profiles table, zone code natural key, UUID ids, polymorphic append-only status_history (ERD §8).</t>
        </is>
      </c>
      <c r="D45" s="17" t="inlineStr">
        <is>
          <t>Row-local CHECK for capacity, re-matching history, driver-only ownership that is structural.</t>
        </is>
      </c>
      <c r="E45" s="17" t="inlineStr">
        <is>
          <t>ride_requests.pool_id; capacity via trigger; driver columns on users</t>
        </is>
      </c>
      <c r="F45" s="17" t="inlineStr">
        <is>
          <t>FR-POOL-02, FR-POOL-10, FR-HIST-02</t>
        </is>
      </c>
      <c r="G45" s="15" t="inlineStr">
        <is>
          <t>Proposed</t>
        </is>
      </c>
      <c r="H45" s="9" t="inlineStr">
        <is>
          <t>2026-09-24</t>
        </is>
      </c>
      <c r="I45" s="16" t="n"/>
    </row>
    <row r="46" ht="48" customHeight="1">
      <c r="A46" s="14" t="inlineStr">
        <is>
          <t>D-24</t>
        </is>
      </c>
      <c r="B46" s="14" t="inlineStr">
        <is>
          <t>Decision</t>
        </is>
      </c>
      <c r="C46" s="13" t="inlineStr">
        <is>
          <t>Add an optional same-gender ride option, enforced as a pool-level restriction under the pool lock (BR-18). Fare rules unchanged.</t>
        </is>
      </c>
      <c r="D46" s="13" t="inlineStr">
        <is>
          <t>Improves rider comfort and safety with a minimal model change, reusing the existing lock and matching path.</t>
        </is>
      </c>
      <c r="E46" s="13" t="inlineStr">
        <is>
          <t>Driver-gender matching; mandatory gender; separate fare for restricted rides</t>
        </is>
      </c>
      <c r="F46" s="13" t="inlineStr">
        <is>
          <t>BR-18, FR-POOL-11, FR-POOL-12, FR-PAX-11</t>
        </is>
      </c>
      <c r="G46" s="15" t="inlineStr">
        <is>
          <t>Confirmed</t>
        </is>
      </c>
      <c r="H46" s="14" t="inlineStr">
        <is>
          <t>2026-09-24</t>
        </is>
      </c>
      <c r="I46" s="16" t="inlineStr">
        <is>
          <t>Confirmed by product owner (same fare rules)</t>
        </is>
      </c>
    </row>
    <row r="47" ht="33" customHeight="1">
      <c r="A47" s="9" t="inlineStr">
        <is>
          <t>P-01</t>
        </is>
      </c>
      <c r="B47" s="9" t="inlineStr">
        <is>
          <t>PRD inconsistency</t>
        </is>
      </c>
      <c r="C47" s="17" t="inlineStr">
        <is>
          <t>The PRD mandates a master branch, but the repository was initialised with main.</t>
        </is>
      </c>
      <c r="D47" s="17" t="inlineStr">
        <is>
          <t>Create master and use it as the integration branch (DR-01).</t>
        </is>
      </c>
      <c r="E47" s="17" t="n"/>
      <c r="F47" s="17" t="inlineStr">
        <is>
          <t>DR-01</t>
        </is>
      </c>
      <c r="G47" s="15" t="inlineStr">
        <is>
          <t>Resolved</t>
        </is>
      </c>
      <c r="H47" s="9" t="inlineStr">
        <is>
          <t>2026-09-23</t>
        </is>
      </c>
      <c r="I47" s="16" t="n"/>
    </row>
    <row r="48" ht="33" customHeight="1">
      <c r="A48" s="14" t="inlineStr">
        <is>
          <t>P-02</t>
        </is>
      </c>
      <c r="B48" s="14" t="inlineStr">
        <is>
          <t>PRD inconsistency</t>
        </is>
      </c>
      <c r="C48" s="13" t="inlineStr">
        <is>
          <t>PRD §18 refers to "the concurrency problem in Section 14". It is actually in §12.</t>
        </is>
      </c>
      <c r="D48" s="13" t="inlineStr">
        <is>
          <t>Treated as §12.</t>
        </is>
      </c>
      <c r="E48" s="13" t="n"/>
      <c r="F48" s="13" t="inlineStr">
        <is>
          <t>NFR-CON-01</t>
        </is>
      </c>
      <c r="G48" s="15" t="inlineStr">
        <is>
          <t>Resolved</t>
        </is>
      </c>
      <c r="H48" s="14" t="inlineStr">
        <is>
          <t>2026-09-23</t>
        </is>
      </c>
      <c r="I48" s="16" t="n"/>
    </row>
    <row r="49" ht="33" customHeight="1">
      <c r="A49" s="9" t="inlineStr">
        <is>
          <t>P-03</t>
        </is>
      </c>
      <c r="B49" s="9" t="inlineStr">
        <is>
          <t>PRD inconsistency</t>
        </is>
      </c>
      <c r="C49" s="17" t="inlineStr">
        <is>
          <t>The PRD lifecycle mixes passenger-level and trip-level states.</t>
        </is>
      </c>
      <c r="D49" s="17" t="inlineStr">
        <is>
          <t>Split into two state machines (D-12).</t>
        </is>
      </c>
      <c r="E49" s="17" t="n"/>
      <c r="F49" s="17" t="inlineStr">
        <is>
          <t>§5</t>
        </is>
      </c>
      <c r="G49" s="15" t="inlineStr">
        <is>
          <t>Resolved</t>
        </is>
      </c>
      <c r="H49" s="9" t="inlineStr">
        <is>
          <t>2026-09-23</t>
        </is>
      </c>
      <c r="I49" s="16" t="n"/>
    </row>
    <row r="50" ht="33" customHeight="1">
      <c r="A50" s="14" t="inlineStr">
        <is>
          <t>OI-01</t>
        </is>
      </c>
      <c r="B50" s="14" t="inlineStr">
        <is>
          <t>Open issue</t>
        </is>
      </c>
      <c r="C50" s="13" t="inlineStr">
        <is>
          <t>Choose the backend framework, ORM, auth mechanism, test framework, styling and hosting, each justified per DC-07.</t>
        </is>
      </c>
      <c r="D50" s="13" t="inlineStr">
        <is>
          <t>Resolved 2026-09-24: D-14…D-22, ADR-0001…0012</t>
        </is>
      </c>
      <c r="E50" s="13" t="n"/>
      <c r="F50" s="13" t="inlineStr">
        <is>
          <t>DC-07, DR-07</t>
        </is>
      </c>
      <c r="G50" s="15" t="inlineStr">
        <is>
          <t>Resolved</t>
        </is>
      </c>
      <c r="H50" s="14" t="inlineStr">
        <is>
          <t>2026-09-24</t>
        </is>
      </c>
      <c r="I50" s="16" t="n"/>
    </row>
    <row r="51" ht="48" customHeight="1">
      <c r="A51" s="9" t="inlineStr">
        <is>
          <t>OI-02</t>
        </is>
      </c>
      <c r="B51" s="9" t="inlineStr">
        <is>
          <t>Open issue</t>
        </is>
      </c>
      <c r="C51" s="17" t="inlineStr">
        <is>
          <t>Choose the concrete concurrency mechanism (pessimistic SELECT … FOR UPDATE versus a conditional update guarded by CHECK) and document it.</t>
        </is>
      </c>
      <c r="D51" s="17" t="inlineStr">
        <is>
          <t>Resolved 2026-09-24: row locks + CAS + constraints in layers (D-18, ADR-0006)</t>
        </is>
      </c>
      <c r="E51" s="17" t="n"/>
      <c r="F51" s="17" t="inlineStr">
        <is>
          <t>NFR-CON-03</t>
        </is>
      </c>
      <c r="G51" s="15" t="inlineStr">
        <is>
          <t>Resolved</t>
        </is>
      </c>
      <c r="H51" s="9" t="inlineStr">
        <is>
          <t>2026-09-24</t>
        </is>
      </c>
      <c r="I51" s="16" t="n"/>
    </row>
    <row r="52" ht="48" customHeight="1">
      <c r="A52" s="14" t="inlineStr">
        <is>
          <t>OI-03</t>
        </is>
      </c>
      <c r="B52" s="14" t="inlineStr">
        <is>
          <t>Open issue</t>
        </is>
      </c>
      <c r="C52" s="13" t="inlineStr">
        <is>
          <t>Decide whether the request-expiry sweeper runs as an in-process interval or lazily on read (NFR-REL-04 requires lazy correctness either way).</t>
        </is>
      </c>
      <c r="D52" s="13" t="inlineStr">
        <is>
          <t>Resolved 2026-09-24: expiry checked in accept CAS, plus 60 s in-process sweeper (D-18)</t>
        </is>
      </c>
      <c r="E52" s="13" t="n"/>
      <c r="F52" s="13" t="inlineStr">
        <is>
          <t>NFR-REL-04</t>
        </is>
      </c>
      <c r="G52" s="15" t="inlineStr">
        <is>
          <t>Resolved</t>
        </is>
      </c>
      <c r="H52" s="14" t="inlineStr">
        <is>
          <t>2026-09-24</t>
        </is>
      </c>
      <c r="I52" s="16" t="n"/>
    </row>
  </sheetData>
  <autoFilter ref="A1:I52"/>
  <conditionalFormatting sqref="G2:G237">
    <cfRule type="expression" priority="1" dxfId="2">
      <formula>$G2="Proposed"</formula>
    </cfRule>
    <cfRule type="expression" priority="2" dxfId="0">
      <formula>$G2="Confirmed"</formula>
    </cfRule>
    <cfRule type="expression" priority="3" dxfId="4">
      <formula>$G2="Open"</formula>
    </cfRule>
    <cfRule type="expression" priority="4" dxfId="0">
      <formula>$G2="Resolved"</formula>
    </cfRule>
    <cfRule type="expression" priority="5" dxfId="7">
      <formula>$G2="Withdrawn"</formula>
    </cfRule>
  </conditionalFormatting>
  <dataValidations count="1">
    <dataValidation sqref="G2:G237" showDropDown="0" showInputMessage="0" showErrorMessage="1" allowBlank="1" errorTitle="Invalid value" error="Pick a value from the list." promptTitle="Allowed values" prompt="Proposed / Confirmed / Open / Resolved / Withdrawn" type="list">
      <formula1>"Proposed,Confirmed,Open,Resolved,Withdrawn"</formula1>
    </dataValidation>
  </dataValidation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I31"/>
  <sheetViews>
    <sheetView zoomScale="10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4" customWidth="1" min="2" max="2"/>
    <col width="48" customWidth="1" min="3" max="3"/>
    <col width="40" customWidth="1" min="4" max="4"/>
    <col width="46" customWidth="1" min="5" max="5"/>
    <col width="10" customWidth="1" min="6" max="6"/>
    <col width="12" customWidth="1" min="7" max="7"/>
    <col width="28" customWidth="1" min="8" max="8"/>
    <col width="24" customWidth="1" min="9" max="9"/>
  </cols>
  <sheetData>
    <row r="1" ht="30" customHeight="1">
      <c r="A1" s="7" t="inlineStr">
        <is>
          <t>Task ID</t>
        </is>
      </c>
      <c r="B1" s="7" t="inlineStr">
        <is>
          <t>Branch</t>
        </is>
      </c>
      <c r="C1" s="7" t="inlineStr">
        <is>
          <t>Description</t>
        </is>
      </c>
      <c r="D1" s="7" t="inlineStr">
        <is>
          <t>Req IDs</t>
        </is>
      </c>
      <c r="E1" s="7" t="inlineStr">
        <is>
          <t>Planned commit message</t>
        </is>
      </c>
      <c r="F1" s="7" t="inlineStr">
        <is>
          <t>Estimate (h)</t>
        </is>
      </c>
      <c r="G1" s="7" t="inlineStr">
        <is>
          <t>Status</t>
        </is>
      </c>
      <c r="H1" s="7" t="inlineStr">
        <is>
          <t>Actual commit(s) / PR</t>
        </is>
      </c>
      <c r="I1" s="7" t="inlineStr">
        <is>
          <t>Notes</t>
        </is>
      </c>
    </row>
    <row r="2" ht="33" customHeight="1">
      <c r="A2" s="14" t="inlineStr">
        <is>
          <t>T-01</t>
        </is>
      </c>
      <c r="B2" s="13" t="inlineStr">
        <is>
          <t>feature/srs-docs</t>
        </is>
      </c>
      <c r="C2" s="13" t="inlineStr">
        <is>
          <t>Write SRS (ISO/IEC/IEEE 29148) and traceability workbook</t>
        </is>
      </c>
      <c r="D2" s="13" t="inlineStr">
        <is>
          <t>DR-18</t>
        </is>
      </c>
      <c r="E2" s="13" t="inlineStr">
        <is>
          <t>docs(srs): add software requirements specification and traceability workbook</t>
        </is>
      </c>
      <c r="F2" s="14" t="n">
        <v>6</v>
      </c>
      <c r="G2" s="15" t="inlineStr">
        <is>
          <t>In Review</t>
        </is>
      </c>
      <c r="H2" s="16" t="inlineStr"/>
      <c r="I2" s="16" t="inlineStr">
        <is>
          <t>SRS v0.2 synced with ERD on 2026-09-24</t>
        </is>
      </c>
    </row>
    <row r="3" ht="33" customHeight="1">
      <c r="A3" s="9" t="inlineStr">
        <is>
          <t>T-02</t>
        </is>
      </c>
      <c r="B3" s="17" t="inlineStr">
        <is>
          <t>feature/architecture-docs</t>
        </is>
      </c>
      <c r="C3" s="17" t="inlineStr">
        <is>
          <t>Architecture diagram, ERD, tech-choice justifications (resolve OI-01..OI-03)</t>
        </is>
      </c>
      <c r="D3" s="17" t="inlineStr">
        <is>
          <t>DR-06, DR-07, DR-14, DC-01, DC-02, DC-03, DC-05, DC-07</t>
        </is>
      </c>
      <c r="E3" s="17" t="inlineStr">
        <is>
          <t>docs(architecture): add system architecture diagram and ERD</t>
        </is>
      </c>
      <c r="F3" s="9" t="n">
        <v>5</v>
      </c>
      <c r="G3" s="15" t="inlineStr">
        <is>
          <t>In Review</t>
        </is>
      </c>
      <c r="H3" s="16" t="inlineStr">
        <is>
          <t>docs/ARCHITECTURE.md, docs/ERD.md, docs/adr/0001–0012</t>
        </is>
      </c>
      <c r="I3" s="16" t="inlineStr">
        <is>
          <t>Drafted 2026-09-24; awaiting review</t>
        </is>
      </c>
    </row>
    <row r="4" ht="33" customHeight="1">
      <c r="A4" s="14" t="inlineStr">
        <is>
          <t>T-03</t>
        </is>
      </c>
      <c r="B4" s="13" t="inlineStr">
        <is>
          <t>feature/project-setup</t>
        </is>
      </c>
      <c r="C4" s="13" t="inlineStr">
        <is>
          <t>Scaffold web (Next.js) and api (Node.js, TypeScript) workspaces; lint, format, folder structure</t>
        </is>
      </c>
      <c r="D4" s="13" t="inlineStr">
        <is>
          <t>NFR-MNT-01, NFR-MNT-03, DC-01, DC-02</t>
        </is>
      </c>
      <c r="E4" s="13" t="inlineStr">
        <is>
          <t>chore(repo): scaffold web and api workspaces</t>
        </is>
      </c>
      <c r="F4" s="14" t="n">
        <v>3</v>
      </c>
      <c r="G4" s="15" t="inlineStr">
        <is>
          <t>Done</t>
        </is>
      </c>
      <c r="H4" s="16" t="inlineStr">
        <is>
          <t>f221565 chore(repo), 9ddba2e docs(conventions) on feature/project-setup</t>
        </is>
      </c>
      <c r="I4" s="16" t="inlineStr">
        <is>
          <t>Also added docs/CODING_CONVENTIONS.md and config/rules.ts</t>
        </is>
      </c>
    </row>
    <row r="5" ht="48" customHeight="1">
      <c r="A5" s="9" t="inlineStr">
        <is>
          <t>T-04</t>
        </is>
      </c>
      <c r="B5" s="17" t="inlineStr">
        <is>
          <t>feature/project-setup</t>
        </is>
      </c>
      <c r="C5" s="17" t="inlineStr">
        <is>
          <t>API foundation: error handler &amp; format, requestId, structured logging, security headers, CORS, schema validation</t>
        </is>
      </c>
      <c r="D5" s="17" t="inlineStr">
        <is>
          <t>NFR-REL-01, NFR-OBS-01, NFR-OBS-02, NFR-OBS-03, NFR-SEC-04, NFR-SEC-06, NFR-SEC-08, NFR-SEC-09</t>
        </is>
      </c>
      <c r="E5" s="17" t="inlineStr">
        <is>
          <t>feat(api): add error handling, structured logging and request validation</t>
        </is>
      </c>
      <c r="F5" s="9" t="n">
        <v>4</v>
      </c>
      <c r="G5" s="15" t="inlineStr">
        <is>
          <t>Done</t>
        </is>
      </c>
      <c r="H5" s="16" t="inlineStr">
        <is>
          <t>51da796 feat(api), 28caad4 refactor(api) on feature/project-setup</t>
        </is>
      </c>
      <c r="I5" s="16" t="inlineStr">
        <is>
          <t>Tests: apps/api/test/app.test.ts</t>
        </is>
      </c>
    </row>
    <row r="6" ht="33" customHeight="1">
      <c r="A6" s="14" t="inlineStr">
        <is>
          <t>T-05</t>
        </is>
      </c>
      <c r="B6" s="13" t="inlineStr">
        <is>
          <t>feature/project-setup</t>
        </is>
      </c>
      <c r="C6" s="13" t="inlineStr">
        <is>
          <t>Docker Compose (db, api, web), health checks, .env.example, /health endpoint</t>
        </is>
      </c>
      <c r="D6" s="13" t="inlineStr">
        <is>
          <t>NFR-POR-01, NFR-POR-02, NFR-REL-02, NFR-REL-03, NFR-SEC-05, DR-09, DC-03, DC-06</t>
        </is>
      </c>
      <c r="E6" s="13" t="inlineStr">
        <is>
          <t>build(docker): add compose setup for api, web and postgres</t>
        </is>
      </c>
      <c r="F6" s="14" t="n">
        <v>4</v>
      </c>
      <c r="G6" s="15" t="inlineStr">
        <is>
          <t>Done</t>
        </is>
      </c>
      <c r="H6" s="16" t="inlineStr">
        <is>
          <t>7d59b8d build(docker) on feature/project-setup</t>
        </is>
      </c>
      <c r="I6" s="16" t="inlineStr">
        <is>
          <t>Verified: 3 containers healthy, web page shows 'API ok', tests pass in container</t>
        </is>
      </c>
    </row>
    <row r="7" ht="48" customHeight="1">
      <c r="A7" s="9" t="inlineStr">
        <is>
          <t>T-06</t>
        </is>
      </c>
      <c r="B7" s="17" t="inlineStr">
        <is>
          <t>feature/db-schema</t>
        </is>
      </c>
      <c r="C7" s="17" t="inlineStr">
        <is>
          <t>Migrations for all entities with CHECK, unique/partial-unique constraints and indexes (SRS §7)</t>
        </is>
      </c>
      <c r="D7" s="17" t="inlineStr">
        <is>
          <t>NFR-CON-04, NFR-PERF-02, NFR-POR-03, FR-FARE-06, BR-14, FR-PAY-06, FR-HIST-02, FR-POOL-09, FR-POOL-10, BR-18</t>
        </is>
      </c>
      <c r="E7" s="17" t="inlineStr">
        <is>
          <t>feat(db): add schema migrations with capacity and uniqueness constraints</t>
        </is>
      </c>
      <c r="F7" s="9" t="n">
        <v>6</v>
      </c>
      <c r="G7" s="15" t="inlineStr">
        <is>
          <t>Done</t>
        </is>
      </c>
      <c r="H7" s="16" t="inlineStr">
        <is>
          <t>e7db6c7 feat(db) schema, 77d5ab5 feat(db) integrity migration, 5c0b0e9 feat(db) helpers — feature/db-schema</t>
        </is>
      </c>
      <c r="I7" s="16" t="inlineStr">
        <is>
          <t>Prisma migrate diff shows no drift against the hand-written objects</t>
        </is>
      </c>
    </row>
    <row r="8" ht="48" customHeight="1">
      <c r="A8" s="14" t="inlineStr">
        <is>
          <t>T-07</t>
        </is>
      </c>
      <c r="B8" s="13" t="inlineStr">
        <is>
          <t>feature/db-schema</t>
        </is>
      </c>
      <c r="C8" s="13" t="inlineStr">
        <is>
          <t>Seed zones, distances, adjacency and reference personas (Nusrat, Rafiq, Shirin, Jashim/Bullet, Kamal/Toofan) with wallets</t>
        </is>
      </c>
      <c r="D8" s="13" t="inlineStr">
        <is>
          <t>BR-08, FR-AUTH-06, DR-15, NFR-POR-03</t>
        </is>
      </c>
      <c r="E8" s="13" t="inlineStr">
        <is>
          <t>feat(seed): add Dhaka zones and reference persona seed data</t>
        </is>
      </c>
      <c r="F8" s="14" t="n">
        <v>3</v>
      </c>
      <c r="G8" s="15" t="inlineStr">
        <is>
          <t>Done</t>
        </is>
      </c>
      <c r="H8" s="16" t="inlineStr">
        <is>
          <t>b9272b5 feat(seed) — feature/db-schema</t>
        </is>
      </c>
      <c r="I8" s="16" t="inlineStr">
        <is>
          <t>Seed runs on container start; idempotent (TC-37)</t>
        </is>
      </c>
    </row>
    <row r="9" ht="33" customHeight="1">
      <c r="A9" s="9" t="inlineStr">
        <is>
          <t>T-08</t>
        </is>
      </c>
      <c r="B9" s="17" t="inlineStr">
        <is>
          <t>feature/passenger-auth</t>
        </is>
      </c>
      <c r="C9" s="17" t="inlineStr">
        <is>
          <t>Sign-up, sign-in, sign-out, /me with hashed passwords and secure session</t>
        </is>
      </c>
      <c r="D9" s="17" t="inlineStr">
        <is>
          <t>FR-AUTH-01, FR-AUTH-02, FR-AUTH-03, FR-AUTH-04, NFR-SEC-01, NFR-SEC-02, NFR-SEC-06</t>
        </is>
      </c>
      <c r="E9" s="17" t="inlineStr">
        <is>
          <t>feat(auth): add passenger signup and login endpoints</t>
        </is>
      </c>
      <c r="F9" s="9" t="n">
        <v>5</v>
      </c>
      <c r="G9" s="15" t="inlineStr">
        <is>
          <t>Done</t>
        </is>
      </c>
      <c r="H9" s="16" t="inlineStr">
        <is>
          <t>6ee7875 feat(shared), 0fccd56 feat(auth), 347e153 feat(auth) — feature/passenger-auth</t>
        </is>
      </c>
      <c r="I9" s="16" t="inlineStr">
        <is>
          <t>Sign-up, sign-in, sessions, sign-out, /me</t>
        </is>
      </c>
    </row>
    <row r="10" ht="33" customHeight="1">
      <c r="A10" s="14" t="inlineStr">
        <is>
          <t>T-09</t>
        </is>
      </c>
      <c r="B10" s="13" t="inlineStr">
        <is>
          <t>feature/passenger-auth</t>
        </is>
      </c>
      <c r="C10" s="13" t="inlineStr">
        <is>
          <t>Role guards, ownership checks, login rate limiting + authorization tests</t>
        </is>
      </c>
      <c r="D10" s="13" t="inlineStr">
        <is>
          <t>FR-AUTH-05, NFR-SEC-03, NFR-SEC-07</t>
        </is>
      </c>
      <c r="E10" s="13" t="inlineStr">
        <is>
          <t>feat(auth): enforce role-based access and rate-limit login</t>
        </is>
      </c>
      <c r="F10" s="14" t="n">
        <v>3</v>
      </c>
      <c r="G10" s="15" t="inlineStr">
        <is>
          <t>Done</t>
        </is>
      </c>
      <c r="H10" s="16" t="inlineStr">
        <is>
          <t>347e153 feat(auth) guards, cea26a4 feat(auth) rate limit, 07b28b6 test(auth) — feature/passenger-auth</t>
        </is>
      </c>
      <c r="I10" s="16" t="inlineStr">
        <is>
          <t>requireAuth/requireRole; 10 attempts/min per IP behind one trusted proxy hop</t>
        </is>
      </c>
    </row>
    <row r="11" ht="33" customHeight="1">
      <c r="A11" s="9" t="inlineStr">
        <is>
          <t>T-10</t>
        </is>
      </c>
      <c r="B11" s="17" t="inlineStr">
        <is>
          <t>feature/zones-fares</t>
        </is>
      </c>
      <c r="C11" s="17" t="inlineStr">
        <is>
          <t>Pure fare engine in paisa + unit tests for worked examples</t>
        </is>
      </c>
      <c r="D11" s="17" t="inlineStr">
        <is>
          <t>FR-FARE-01, BR-09, BR-10, BR-11, BR-12, BR-13, NFR-MNT-02</t>
        </is>
      </c>
      <c r="E11" s="17" t="inlineStr">
        <is>
          <t>feat(fare): add paisa-based fare calculator with pool discount</t>
        </is>
      </c>
      <c r="F11" s="9" t="n">
        <v>3</v>
      </c>
      <c r="G11" s="15" t="inlineStr">
        <is>
          <t>Done</t>
        </is>
      </c>
      <c r="H11" s="16" t="inlineStr">
        <is>
          <t>b4e67b9 feat(fare), 1be55c0 test(fare), d9ff25f test(fare) — feature/zones-fares</t>
        </is>
      </c>
      <c r="I11" s="16" t="inlineStr">
        <is>
          <t>computeFare() and roundHalfUpDiv() on whole paisa; rates from CURRENT_FARE_RATES</t>
        </is>
      </c>
    </row>
    <row r="12" ht="18" customHeight="1">
      <c r="A12" s="14" t="inlineStr">
        <is>
          <t>T-11</t>
        </is>
      </c>
      <c r="B12" s="13" t="inlineStr">
        <is>
          <t>feature/zones-fares</t>
        </is>
      </c>
      <c r="C12" s="13" t="inlineStr">
        <is>
          <t>Zones and fare-estimate endpoints</t>
        </is>
      </c>
      <c r="D12" s="13" t="inlineStr">
        <is>
          <t>FR-PAX-01, FR-PAX-02, FR-FARE-02, FR-FARE-04</t>
        </is>
      </c>
      <c r="E12" s="13" t="inlineStr">
        <is>
          <t>feat(fare): add zones and fare estimate endpoints</t>
        </is>
      </c>
      <c r="F12" s="14" t="n">
        <v>2</v>
      </c>
      <c r="G12" s="15" t="inlineStr">
        <is>
          <t>Done</t>
        </is>
      </c>
      <c r="H12" s="16" t="inlineStr">
        <is>
          <t>2a5c39d feat(fare), 86a24c5 fix(api), 63be8bb test(fare) — feature/zones-fares</t>
        </is>
      </c>
      <c r="I12" s="16" t="inlineStr">
        <is>
          <t>GET /api/zones, POST /api/fares/estimate; zone reference data cached in memory</t>
        </is>
      </c>
    </row>
    <row r="13" ht="33" customHeight="1">
      <c r="A13" s="9" t="inlineStr">
        <is>
          <t>T-12</t>
        </is>
      </c>
      <c r="B13" s="17" t="inlineStr">
        <is>
          <t>feature/ride-request</t>
        </is>
      </c>
      <c r="C13" s="17" t="inlineStr">
        <is>
          <t>Ride &amp; pool state machine module with transactional audit writer</t>
        </is>
      </c>
      <c r="D13" s="17" t="inlineStr">
        <is>
          <t>BR-06, FR-HIST-01, FR-HIST-02, FR-HIST-03, NFR-CON-02, NFR-MNT-02</t>
        </is>
      </c>
      <c r="E13" s="17" t="inlineStr">
        <is>
          <t>feat(ride): add ride and pool state machines with audit trail</t>
        </is>
      </c>
      <c r="F13" s="9" t="n">
        <v>4</v>
      </c>
      <c r="G13" s="15" t="inlineStr">
        <is>
          <t>Done</t>
        </is>
      </c>
      <c r="H13" s="16" t="inlineStr">
        <is>
          <t>97a8fb6 feat(ride) state machines, 97e9a70 feat(audit) — feature/ride-request</t>
        </is>
      </c>
      <c r="I13" s="16" t="inlineStr">
        <is>
          <t>Transition tables shared with the web app; audit writer inside the caller's transaction; WARN log for 409/422</t>
        </is>
      </c>
    </row>
    <row r="14" ht="48" customHeight="1">
      <c r="A14" s="14" t="inlineStr">
        <is>
          <t>T-13</t>
        </is>
      </c>
      <c r="B14" s="13" t="inlineStr">
        <is>
          <t>feature/ride-request</t>
        </is>
      </c>
      <c r="C14" s="13" t="inlineStr">
        <is>
          <t>Passenger ride endpoints: create, active/history, detail, cancel (with fee), expiry</t>
        </is>
      </c>
      <c r="D14" s="13" t="inlineStr">
        <is>
          <t>FR-PAX-03, FR-PAX-04, FR-PAX-05, FR-PAX-06, FR-PAX-08, FR-PAX-09, FR-PAX-10, BR-05, BR-07, FR-FARE-05, FR-HIST-04, NFR-REL-04, NFR-CON-06, FR-PAX-11</t>
        </is>
      </c>
      <c r="E14" s="13" t="inlineStr">
        <is>
          <t>feat(ride): add passenger ride request lifecycle endpoints</t>
        </is>
      </c>
      <c r="F14" s="14" t="n">
        <v>6</v>
      </c>
      <c r="G14" s="15" t="inlineStr">
        <is>
          <t>In Progress</t>
        </is>
      </c>
      <c r="H14" s="16" t="inlineStr">
        <is>
          <t>0896c40 feat(ride), e32e7bb fix(ride), dcc02ed feat(ride), 75785c0 test(ride) — feature/ride-request</t>
        </is>
      </c>
      <c r="I14" s="16" t="inlineStr">
        <is>
          <t>Create, list, detail, expiry and REQUESTED cancel done; cancelling MATCHED/DRIVER_ARRIVED (seat release, fee) comes with feature/tesla-pooling and feature/driver-flow</t>
        </is>
      </c>
    </row>
    <row r="15" ht="33" customHeight="1">
      <c r="A15" s="9" t="inlineStr">
        <is>
          <t>T-14</t>
        </is>
      </c>
      <c r="B15" s="17" t="inlineStr">
        <is>
          <t>feature/tesla-pooling</t>
        </is>
      </c>
      <c r="C15" s="17" t="inlineStr">
        <is>
          <t>Driver availability and relevant-request feed</t>
        </is>
      </c>
      <c r="D15" s="17" t="inlineStr">
        <is>
          <t>FR-DRV-01, FR-DRV-02, FR-DRV-03, FR-DRV-04</t>
        </is>
      </c>
      <c r="E15" s="17" t="inlineStr">
        <is>
          <t>feat(driver): add online status and relevant request feed</t>
        </is>
      </c>
      <c r="F15" s="9" t="n">
        <v>4</v>
      </c>
      <c r="G15" s="15" t="inlineStr">
        <is>
          <t>Not Started</t>
        </is>
      </c>
      <c r="H15" s="16" t="inlineStr"/>
      <c r="I15" s="16" t="inlineStr">
        <is>
          <t>Moved from feature/driver-flow: accept needs driver availability first (plan Phase 5)</t>
        </is>
      </c>
    </row>
    <row r="16" ht="63" customHeight="1">
      <c r="A16" s="14" t="inlineStr">
        <is>
          <t>T-15</t>
        </is>
      </c>
      <c r="B16" s="13" t="inlineStr">
        <is>
          <t>feature/tesla-pooling</t>
        </is>
      </c>
      <c r="C16" s="13" t="inlineStr">
        <is>
          <t>Accept into pool: matching rule, capacity lock, one active pool per driver</t>
        </is>
      </c>
      <c r="D16" s="13" t="inlineStr">
        <is>
          <t>FR-DRV-05, FR-POOL-01, FR-POOL-02, FR-POOL-03, FR-POOL-04, FR-POOL-05, FR-POOL-09, BR-01, BR-02, BR-03, BR-04, NFR-CON-01, NFR-CON-03, NFR-CON-04, FR-POOL-11, BR-18</t>
        </is>
      </c>
      <c r="E16" s="13" t="inlineStr">
        <is>
          <t>feat(pool): enforce Bullet's seat capacity when accepting requests</t>
        </is>
      </c>
      <c r="F16" s="14" t="n">
        <v>6</v>
      </c>
      <c r="G16" s="15" t="inlineStr">
        <is>
          <t>Not Started</t>
        </is>
      </c>
      <c r="H16" s="16" t="inlineStr"/>
      <c r="I16" s="16" t="inlineStr"/>
    </row>
    <row r="17" ht="33" customHeight="1">
      <c r="A17" s="9" t="inlineStr">
        <is>
          <t>T-16</t>
        </is>
      </c>
      <c r="B17" s="17" t="inlineStr">
        <is>
          <t>feature/tesla-pooling</t>
        </is>
      </c>
      <c r="C17" s="17" t="inlineStr">
        <is>
          <t>Concurrency tests (last seat, double accept, cancel vs accept) and README concurrency notes</t>
        </is>
      </c>
      <c r="D17" s="17" t="inlineStr">
        <is>
          <t>NFR-CON-01, NFR-CON-02, DR-16</t>
        </is>
      </c>
      <c r="E17" s="17" t="inlineStr">
        <is>
          <t>test(pool): add concurrent last-seat claim tests</t>
        </is>
      </c>
      <c r="F17" s="9" t="n">
        <v>3</v>
      </c>
      <c r="G17" s="15" t="inlineStr">
        <is>
          <t>Not Started</t>
        </is>
      </c>
      <c r="H17" s="16" t="inlineStr"/>
      <c r="I17" s="16" t="inlineStr"/>
    </row>
    <row r="18" ht="48" customHeight="1">
      <c r="A18" s="14" t="inlineStr">
        <is>
          <t>T-17</t>
        </is>
      </c>
      <c r="B18" s="13" t="inlineStr">
        <is>
          <t>feature/driver-flow</t>
        </is>
      </c>
      <c r="C18" s="13" t="inlineStr">
        <is>
          <t>Trip actions: arrive, start (fare lock), per-passenger drop-off, cancel pool, no-show, auto-complete/cancel</t>
        </is>
      </c>
      <c r="D18" s="13" t="inlineStr">
        <is>
          <t>FR-DRV-06, FR-DRV-07, FR-DRV-08, FR-DRV-09, FR-DRV-11, FR-DRV-12, FR-DRV-13, FR-FARE-03, FR-POOL-06, FR-POOL-07, FR-POOL-08, FR-POOL-12</t>
        </is>
      </c>
      <c r="E18" s="13" t="inlineStr">
        <is>
          <t>feat(driver): add arrive, start and drop-off trip actions</t>
        </is>
      </c>
      <c r="F18" s="14" t="n">
        <v>6</v>
      </c>
      <c r="G18" s="15" t="inlineStr">
        <is>
          <t>Not Started</t>
        </is>
      </c>
      <c r="H18" s="16" t="inlineStr"/>
      <c r="I18" s="16" t="inlineStr"/>
    </row>
    <row r="19" ht="48" customHeight="1">
      <c r="A19" s="9" t="inlineStr">
        <is>
          <t>T-18</t>
        </is>
      </c>
      <c r="B19" s="17" t="inlineStr">
        <is>
          <t>feature/teslapay-wallet</t>
        </is>
      </c>
      <c r="C19" s="17" t="inlineStr">
        <is>
          <t>Wallet, top-up, ledger, ride settlement, cash collection, cancellation-fee debit</t>
        </is>
      </c>
      <c r="D19" s="17" t="inlineStr">
        <is>
          <t>FR-PAY-01, FR-PAY-02, FR-PAY-03, FR-PAY-04, FR-PAY-05, FR-PAY-06, FR-DRV-10, BR-15, BR-16, BR-17, NFR-CON-05</t>
        </is>
      </c>
      <c r="E19" s="17" t="inlineStr">
        <is>
          <t>feat(wallet): add simulated TeslaPay wallet and ride settlement</t>
        </is>
      </c>
      <c r="F19" s="9" t="n">
        <v>5</v>
      </c>
      <c r="G19" s="15" t="inlineStr">
        <is>
          <t>Not Started</t>
        </is>
      </c>
      <c r="H19" s="16" t="inlineStr"/>
      <c r="I19" s="16" t="inlineStr"/>
    </row>
    <row r="20" ht="33" customHeight="1">
      <c r="A20" s="14" t="inlineStr">
        <is>
          <t>T-19</t>
        </is>
      </c>
      <c r="B20" s="13" t="inlineStr">
        <is>
          <t>feature/passenger-ui</t>
        </is>
      </c>
      <c r="C20" s="13" t="inlineStr">
        <is>
          <t>Web: sign-in/sign-up pages, layout, role routing, API client, shared loading/empty/error components</t>
        </is>
      </c>
      <c r="D20" s="13" t="inlineStr">
        <is>
          <t>FR-AUTH-05, NFR-USA-01, NFR-USA-05</t>
        </is>
      </c>
      <c r="E20" s="13" t="inlineStr">
        <is>
          <t>feat(web): add sign-in, sign-up and role-based routing</t>
        </is>
      </c>
      <c r="F20" s="14" t="n">
        <v>4</v>
      </c>
      <c r="G20" s="15" t="inlineStr">
        <is>
          <t>Not Started</t>
        </is>
      </c>
      <c r="H20" s="16" t="inlineStr"/>
      <c r="I20" s="16" t="inlineStr"/>
    </row>
    <row r="21" ht="48" customHeight="1">
      <c r="A21" s="9" t="inlineStr">
        <is>
          <t>T-20</t>
        </is>
      </c>
      <c r="B21" s="17" t="inlineStr">
        <is>
          <t>feature/passenger-ui</t>
        </is>
      </c>
      <c r="C21" s="17" t="inlineStr">
        <is>
          <t>Web: request ride with live estimate; current-ride tracker with polling; cancel dialog</t>
        </is>
      </c>
      <c r="D21" s="17" t="inlineStr">
        <is>
          <t>FR-PAX-02, FR-PAX-06, FR-PAX-07, FR-PAX-08, NFR-USA-02, NFR-USA-03, NFR-USA-04, NFR-USA-06, NFR-PERF-03, FR-PAX-11</t>
        </is>
      </c>
      <c r="E21" s="17" t="inlineStr">
        <is>
          <t>feat(web): add ride request form and live status tracker</t>
        </is>
      </c>
      <c r="F21" s="9" t="n">
        <v>6</v>
      </c>
      <c r="G21" s="15" t="inlineStr">
        <is>
          <t>Not Started</t>
        </is>
      </c>
      <c r="H21" s="16" t="inlineStr"/>
      <c r="I21" s="16" t="inlineStr"/>
    </row>
    <row r="22" ht="33" customHeight="1">
      <c r="A22" s="14" t="inlineStr">
        <is>
          <t>T-21</t>
        </is>
      </c>
      <c r="B22" s="13" t="inlineStr">
        <is>
          <t>feature/passenger-ui</t>
        </is>
      </c>
      <c r="C22" s="13" t="inlineStr">
        <is>
          <t>Web: ride history, ride detail timeline, TeslaPay wallet pages</t>
        </is>
      </c>
      <c r="D22" s="13" t="inlineStr">
        <is>
          <t>FR-PAX-09, FR-PAX-10, FR-PAY-01, FR-PAY-02</t>
        </is>
      </c>
      <c r="E22" s="13" t="inlineStr">
        <is>
          <t>feat(web): add ride history and TeslaPay wallet pages</t>
        </is>
      </c>
      <c r="F22" s="14" t="n">
        <v>4</v>
      </c>
      <c r="G22" s="15" t="inlineStr">
        <is>
          <t>Not Started</t>
        </is>
      </c>
      <c r="H22" s="16" t="inlineStr"/>
      <c r="I22" s="16" t="inlineStr"/>
    </row>
    <row r="23" ht="48" customHeight="1">
      <c r="A23" s="9" t="inlineStr">
        <is>
          <t>T-22</t>
        </is>
      </c>
      <c r="B23" s="17" t="inlineStr">
        <is>
          <t>feature/driver-ui</t>
        </is>
      </c>
      <c r="C23" s="17" t="inlineStr">
        <is>
          <t>Web: driver dashboard, request feed, active pool management, history</t>
        </is>
      </c>
      <c r="D23" s="17" t="inlineStr">
        <is>
          <t>FR-DRV-01, FR-DRV-02, FR-DRV-04, FR-DRV-06, FR-DRV-07, FR-DRV-08, FR-DRV-09, FR-DRV-10, FR-DRV-11, FR-DRV-13, NFR-USA-03, NFR-USA-06</t>
        </is>
      </c>
      <c r="E23" s="17" t="inlineStr">
        <is>
          <t>feat(web): add driver dashboard and pool management screens</t>
        </is>
      </c>
      <c r="F23" s="9" t="n">
        <v>6</v>
      </c>
      <c r="G23" s="15" t="inlineStr">
        <is>
          <t>Not Started</t>
        </is>
      </c>
      <c r="H23" s="16" t="inlineStr"/>
      <c r="I23" s="16" t="inlineStr"/>
    </row>
    <row r="24" ht="33" customHeight="1">
      <c r="A24" s="14" t="inlineStr">
        <is>
          <t>T-23</t>
        </is>
      </c>
      <c r="B24" s="13" t="inlineStr">
        <is>
          <t>pre-release</t>
        </is>
      </c>
      <c r="C24" s="13" t="inlineStr">
        <is>
          <t>Integration fixes, end-to-end walkthrough, performance smoke test, single test command</t>
        </is>
      </c>
      <c r="D24" s="13" t="inlineStr">
        <is>
          <t>NFR-PERF-01, NFR-MNT-04, DR-10</t>
        </is>
      </c>
      <c r="E24" s="13" t="inlineStr">
        <is>
          <t>fix(&lt;scope&gt;): &lt;integration issue&gt; (one commit per fix)</t>
        </is>
      </c>
      <c r="F24" s="14" t="n">
        <v>4</v>
      </c>
      <c r="G24" s="15" t="inlineStr">
        <is>
          <t>Not Started</t>
        </is>
      </c>
      <c r="H24" s="16" t="inlineStr"/>
      <c r="I24" s="16" t="inlineStr"/>
    </row>
    <row r="25" ht="33" customHeight="1">
      <c r="A25" s="9" t="inlineStr">
        <is>
          <t>T-24</t>
        </is>
      </c>
      <c r="B25" s="17" t="inlineStr">
        <is>
          <t>pre-release</t>
        </is>
      </c>
      <c r="C25" s="17" t="inlineStr">
        <is>
          <t>README: setup, API overview, decisions/trade-offs, limitations, AI usage, screenshots</t>
        </is>
      </c>
      <c r="D25" s="17" t="inlineStr">
        <is>
          <t>DR-05, DR-07, DR-08, DR-16</t>
        </is>
      </c>
      <c r="E25" s="17" t="inlineStr">
        <is>
          <t>docs(readme): document setup, decisions and AI usage</t>
        </is>
      </c>
      <c r="F25" s="9" t="n">
        <v>4</v>
      </c>
      <c r="G25" s="15" t="inlineStr">
        <is>
          <t>Not Started</t>
        </is>
      </c>
      <c r="H25" s="16" t="inlineStr"/>
      <c r="I25" s="16" t="inlineStr"/>
    </row>
    <row r="26" ht="33" customHeight="1">
      <c r="A26" s="14" t="inlineStr">
        <is>
          <t>T-25</t>
        </is>
      </c>
      <c r="B26" s="13" t="inlineStr">
        <is>
          <t>pre-release</t>
        </is>
      </c>
      <c r="C26" s="13" t="inlineStr">
        <is>
          <t>Free-tier public deployment (or documented reproducible Docker fallback)</t>
        </is>
      </c>
      <c r="D26" s="13" t="inlineStr">
        <is>
          <t>NFR-POR-04, DR-11, DC-04, DR-13</t>
        </is>
      </c>
      <c r="E26" s="13" t="inlineStr">
        <is>
          <t>build(deploy): add free-tier deployment configuration</t>
        </is>
      </c>
      <c r="F26" s="14" t="n">
        <v>4</v>
      </c>
      <c r="G26" s="15" t="inlineStr">
        <is>
          <t>Not Started</t>
        </is>
      </c>
      <c r="H26" s="16" t="inlineStr"/>
      <c r="I26" s="16" t="inlineStr"/>
    </row>
    <row r="27" ht="33" customHeight="1">
      <c r="A27" s="9" t="inlineStr">
        <is>
          <t>T-26</t>
        </is>
      </c>
      <c r="B27" s="17" t="inlineStr">
        <is>
          <t>pre-release</t>
        </is>
      </c>
      <c r="C27" s="17" t="inlineStr">
        <is>
          <t>Viral-scale bonus section with diagram (1M passengers / 100k drivers)</t>
        </is>
      </c>
      <c r="D27" s="17" t="inlineStr">
        <is>
          <t>DR-17</t>
        </is>
      </c>
      <c r="E27" s="17" t="inlineStr">
        <is>
          <t>docs(scaling): add viral-scale design notes</t>
        </is>
      </c>
      <c r="F27" s="9" t="n">
        <v>3</v>
      </c>
      <c r="G27" s="15" t="inlineStr">
        <is>
          <t>Not Started</t>
        </is>
      </c>
      <c r="H27" s="16" t="inlineStr"/>
      <c r="I27" s="16" t="inlineStr"/>
    </row>
    <row r="28" ht="33" customHeight="1">
      <c r="A28" s="14" t="inlineStr">
        <is>
          <t>T-27</t>
        </is>
      </c>
      <c r="B28" s="13" t="inlineStr">
        <is>
          <t>release/v1.0.0</t>
        </is>
      </c>
      <c r="C28" s="13" t="inlineStr">
        <is>
          <t>Cut release/v1.0.0 from pre-release, record ≤6-min video, link in README; verify branch/commit history</t>
        </is>
      </c>
      <c r="D28" s="13" t="inlineStr">
        <is>
          <t>DR-01, DR-02, DR-03, DR-04, DR-12</t>
        </is>
      </c>
      <c r="E28" s="13" t="inlineStr">
        <is>
          <t>chore(release): prepare v1.0.0</t>
        </is>
      </c>
      <c r="F28" s="14" t="n">
        <v>3</v>
      </c>
      <c r="G28" s="15" t="inlineStr">
        <is>
          <t>Not Started</t>
        </is>
      </c>
      <c r="H28" s="16" t="inlineStr"/>
      <c r="I28" s="16" t="inlineStr"/>
    </row>
    <row r="29">
      <c r="E29" s="3" t="inlineStr">
        <is>
          <t>Total estimate (h)</t>
        </is>
      </c>
      <c r="F29" s="3">
        <f>SUM(F2:F28)</f>
        <v/>
      </c>
    </row>
    <row r="30">
      <c r="E30" s="3" t="inlineStr">
        <is>
          <t>Remaining (h, not Done)</t>
        </is>
      </c>
      <c r="F30" s="3">
        <f>SUMIFS(F2:F28,G2:G28,"&lt;&gt;Done")</f>
        <v/>
      </c>
    </row>
    <row r="31">
      <c r="A31" s="18" t="inlineStr">
        <is>
          <t>Branch flow (PRD §10): feature/* → master (when working) → pre-release (integration, docs, deploy) → release/v1.0.0. Estimates are the author's planning guesses.</t>
        </is>
      </c>
    </row>
  </sheetData>
  <autoFilter ref="A1:I28"/>
  <conditionalFormatting sqref="G2:G227">
    <cfRule type="expression" priority="1" dxfId="2">
      <formula>$G2="Not Started"</formula>
    </cfRule>
    <cfRule type="expression" priority="2" dxfId="4">
      <formula>$G2="In Progress"</formula>
    </cfRule>
    <cfRule type="expression" priority="3" dxfId="3">
      <formula>$G2="In Review"</formula>
    </cfRule>
    <cfRule type="expression" priority="4" dxfId="0">
      <formula>$G2="Done"</formula>
    </cfRule>
    <cfRule type="expression" priority="5" dxfId="6">
      <formula>$G2="Blocked"</formula>
    </cfRule>
  </conditionalFormatting>
  <dataValidations count="1">
    <dataValidation sqref="G2:G227" showDropDown="0" showInputMessage="0" showErrorMessage="1" allowBlank="1" errorTitle="Invalid value" error="Pick a value from the list." promptTitle="Allowed values" prompt="Not Started → In Progress → In Review → Done" type="list">
      <formula1>"Not Started,In Progress,In Review,Done,Blocked"</formula1>
    </dataValidation>
  </dataValidations>
  <pageMargins left="0.75" right="0.75" top="1" bottom="1" header="0.5" footer="0.5"/>
</worksheet>
</file>

<file path=xl/worksheets/sheet6.xml><?xml version="1.0" encoding="utf-8"?>
<worksheet xmlns="http://schemas.openxmlformats.org/spreadsheetml/2006/main">
  <sheetPr>
    <tabColor rgb="00808080"/>
    <outlinePr summaryBelow="1" summaryRight="1"/>
    <pageSetUpPr/>
  </sheetPr>
  <dimension ref="A1:H36"/>
  <sheetViews>
    <sheetView zoomScale="10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3" customWidth="1" min="2" max="2"/>
    <col width="20" customWidth="1" min="3" max="3"/>
    <col width="18" customWidth="1" min="4" max="4"/>
    <col width="30" customWidth="1" min="5" max="5"/>
    <col width="48" customWidth="1" min="6" max="6"/>
    <col width="48" customWidth="1" min="7" max="7"/>
  </cols>
  <sheetData>
    <row r="1" ht="30" customHeight="1">
      <c r="A1" s="7" t="inlineStr">
        <is>
          <t>Transition</t>
        </is>
      </c>
      <c r="B1" s="7" t="inlineStr">
        <is>
          <t>Machine</t>
        </is>
      </c>
      <c r="C1" s="7" t="inlineStr">
        <is>
          <t>From</t>
        </is>
      </c>
      <c r="D1" s="7" t="inlineStr">
        <is>
          <t>To</t>
        </is>
      </c>
      <c r="E1" s="7" t="inlineStr">
        <is>
          <t>Actor</t>
        </is>
      </c>
      <c r="F1" s="7" t="inlineStr">
        <is>
          <t>Guard(s)</t>
        </is>
      </c>
      <c r="G1" s="7" t="inlineStr">
        <is>
          <t>Side effects</t>
        </is>
      </c>
    </row>
    <row r="2" ht="18" customHeight="1">
      <c r="A2" s="14" t="inlineStr">
        <is>
          <t>RT-01</t>
        </is>
      </c>
      <c r="B2" s="14" t="inlineStr">
        <is>
          <t>Ride request</t>
        </is>
      </c>
      <c r="C2" s="14" t="inlineStr">
        <is>
          <t>—</t>
        </is>
      </c>
      <c r="D2" s="14" t="inlineStr">
        <is>
          <t>REQUESTED</t>
        </is>
      </c>
      <c r="E2" s="13" t="inlineStr">
        <is>
          <t>Passenger (owner)</t>
        </is>
      </c>
      <c r="F2" s="13" t="inlineStr">
        <is>
          <t>FR-PAX-03 validation; no active request (BR-05)</t>
        </is>
      </c>
      <c r="G2" s="13" t="inlineStr">
        <is>
          <t>Estimate stored; audit</t>
        </is>
      </c>
    </row>
    <row r="3" ht="18" customHeight="1">
      <c r="A3" s="9" t="inlineStr">
        <is>
          <t>RT-02</t>
        </is>
      </c>
      <c r="B3" s="9" t="inlineStr">
        <is>
          <t>Ride request</t>
        </is>
      </c>
      <c r="C3" s="9" t="inlineStr">
        <is>
          <t>REQUESTED</t>
        </is>
      </c>
      <c r="D3" s="9" t="inlineStr">
        <is>
          <t>MATCHED</t>
        </is>
      </c>
      <c r="E3" s="17" t="inlineStr">
        <is>
          <t>Driver</t>
        </is>
      </c>
      <c r="F3" s="17" t="inlineStr">
        <is>
          <t>Driver ONLINE; request not expired; BR-01…BR-04</t>
        </is>
      </c>
      <c r="G3" s="17" t="inlineStr">
        <is>
          <t>Pool created or joined; seats claimed; audit</t>
        </is>
      </c>
    </row>
    <row r="4" ht="18" customHeight="1">
      <c r="A4" s="14" t="inlineStr">
        <is>
          <t>RT-03</t>
        </is>
      </c>
      <c r="B4" s="14" t="inlineStr">
        <is>
          <t>Ride request</t>
        </is>
      </c>
      <c r="C4" s="14" t="inlineStr">
        <is>
          <t>REQUESTED</t>
        </is>
      </c>
      <c r="D4" s="14" t="inlineStr">
        <is>
          <t>CANCELLED</t>
        </is>
      </c>
      <c r="E4" s="13" t="inlineStr">
        <is>
          <t>Passenger (owner)</t>
        </is>
      </c>
      <c r="F4" s="13" t="inlineStr">
        <is>
          <t>—</t>
        </is>
      </c>
      <c r="G4" s="13" t="inlineStr">
        <is>
          <t>Audit (free)</t>
        </is>
      </c>
    </row>
    <row r="5" ht="18" customHeight="1">
      <c r="A5" s="9" t="inlineStr">
        <is>
          <t>RT-04</t>
        </is>
      </c>
      <c r="B5" s="9" t="inlineStr">
        <is>
          <t>Ride request</t>
        </is>
      </c>
      <c r="C5" s="9" t="inlineStr">
        <is>
          <t>REQUESTED</t>
        </is>
      </c>
      <c r="D5" s="9" t="inlineStr">
        <is>
          <t>EXPIRED</t>
        </is>
      </c>
      <c r="E5" s="17" t="inlineStr">
        <is>
          <t>System</t>
        </is>
      </c>
      <c r="F5" s="17" t="inlineStr">
        <is>
          <t>15 min in REQUESTED (A-13)</t>
        </is>
      </c>
      <c r="G5" s="17" t="inlineStr">
        <is>
          <t>Audit</t>
        </is>
      </c>
    </row>
    <row r="6" ht="18" customHeight="1">
      <c r="A6" s="14" t="inlineStr">
        <is>
          <t>RT-05</t>
        </is>
      </c>
      <c r="B6" s="14" t="inlineStr">
        <is>
          <t>Ride request</t>
        </is>
      </c>
      <c r="C6" s="14" t="inlineStr">
        <is>
          <t>MATCHED</t>
        </is>
      </c>
      <c r="D6" s="14" t="inlineStr">
        <is>
          <t>DRIVER_ARRIVED</t>
        </is>
      </c>
      <c r="E6" s="13" t="inlineStr">
        <is>
          <t>Driver (pool owner)</t>
        </is>
      </c>
      <c r="F6" s="13" t="inlineStr">
        <is>
          <t>Cascade of PT-02</t>
        </is>
      </c>
      <c r="G6" s="13" t="inlineStr">
        <is>
          <t>Audit</t>
        </is>
      </c>
    </row>
    <row r="7" ht="33" customHeight="1">
      <c r="A7" s="9" t="inlineStr">
        <is>
          <t>RT-06</t>
        </is>
      </c>
      <c r="B7" s="9" t="inlineStr">
        <is>
          <t>Ride request</t>
        </is>
      </c>
      <c r="C7" s="9" t="inlineStr">
        <is>
          <t>MATCHED</t>
        </is>
      </c>
      <c r="D7" s="9" t="inlineStr">
        <is>
          <t>CANCELLED</t>
        </is>
      </c>
      <c r="E7" s="17" t="inlineStr">
        <is>
          <t>Passenger (owner)</t>
        </is>
      </c>
      <c r="F7" s="17" t="inlineStr">
        <is>
          <t>—</t>
        </is>
      </c>
      <c r="G7" s="17" t="inlineStr">
        <is>
          <t>Seats freed; maybe auto-cancel pool (FR-POOL-07); audit (free)</t>
        </is>
      </c>
    </row>
    <row r="8" ht="33" customHeight="1">
      <c r="A8" s="14" t="inlineStr">
        <is>
          <t>RT-07</t>
        </is>
      </c>
      <c r="B8" s="14" t="inlineStr">
        <is>
          <t>Ride request</t>
        </is>
      </c>
      <c r="C8" s="14" t="inlineStr">
        <is>
          <t>MATCHED</t>
        </is>
      </c>
      <c r="D8" s="14" t="inlineStr">
        <is>
          <t>REQUESTED</t>
        </is>
      </c>
      <c r="E8" s="13" t="inlineStr">
        <is>
          <t>Driver (pool owner)</t>
        </is>
      </c>
      <c r="F8" s="13" t="inlineStr">
        <is>
          <t>Cascade of PT-04</t>
        </is>
      </c>
      <c r="G8" s="13" t="inlineStr">
        <is>
          <t>Membership ended; seats freed; expiry timer restarts; audit</t>
        </is>
      </c>
    </row>
    <row r="9" ht="18" customHeight="1">
      <c r="A9" s="9" t="inlineStr">
        <is>
          <t>RT-08</t>
        </is>
      </c>
      <c r="B9" s="9" t="inlineStr">
        <is>
          <t>Ride request</t>
        </is>
      </c>
      <c r="C9" s="9" t="inlineStr">
        <is>
          <t>DRIVER_ARRIVED</t>
        </is>
      </c>
      <c r="D9" s="9" t="inlineStr">
        <is>
          <t>STARTED</t>
        </is>
      </c>
      <c r="E9" s="17" t="inlineStr">
        <is>
          <t>Driver (pool owner)</t>
        </is>
      </c>
      <c r="F9" s="17" t="inlineStr">
        <is>
          <t>Cascade of PT-03</t>
        </is>
      </c>
      <c r="G9" s="17" t="inlineStr">
        <is>
          <t>Fare locked (BR-12); audit</t>
        </is>
      </c>
    </row>
    <row r="10" ht="33" customHeight="1">
      <c r="A10" s="14" t="inlineStr">
        <is>
          <t>RT-09</t>
        </is>
      </c>
      <c r="B10" s="14" t="inlineStr">
        <is>
          <t>Ride request</t>
        </is>
      </c>
      <c r="C10" s="14" t="inlineStr">
        <is>
          <t>DRIVER_ARRIVED</t>
        </is>
      </c>
      <c r="D10" s="14" t="inlineStr">
        <is>
          <t>CANCELLED</t>
        </is>
      </c>
      <c r="E10" s="13" t="inlineStr">
        <is>
          <t>Passenger (owner) or Driver (no-show, ≥5 min, C)</t>
        </is>
      </c>
      <c r="F10" s="13" t="inlineStr">
        <is>
          <t>—</t>
        </is>
      </c>
      <c r="G10" s="13" t="inlineStr">
        <is>
          <t>৳20 fee (BR-07); seats freed; audit</t>
        </is>
      </c>
    </row>
    <row r="11" ht="18" customHeight="1">
      <c r="A11" s="9" t="inlineStr">
        <is>
          <t>RT-10</t>
        </is>
      </c>
      <c r="B11" s="9" t="inlineStr">
        <is>
          <t>Ride request</t>
        </is>
      </c>
      <c r="C11" s="9" t="inlineStr">
        <is>
          <t>DRIVER_ARRIVED</t>
        </is>
      </c>
      <c r="D11" s="9" t="inlineStr">
        <is>
          <t>REQUESTED</t>
        </is>
      </c>
      <c r="E11" s="17" t="inlineStr">
        <is>
          <t>Driver (pool owner)</t>
        </is>
      </c>
      <c r="F11" s="17" t="inlineStr">
        <is>
          <t>Cascade of PT-04</t>
        </is>
      </c>
      <c r="G11" s="17" t="inlineStr">
        <is>
          <t>As RT-07, no fee</t>
        </is>
      </c>
    </row>
    <row r="12" ht="33" customHeight="1">
      <c r="A12" s="14" t="inlineStr">
        <is>
          <t>RT-11</t>
        </is>
      </c>
      <c r="B12" s="14" t="inlineStr">
        <is>
          <t>Ride request</t>
        </is>
      </c>
      <c r="C12" s="14" t="inlineStr">
        <is>
          <t>STARTED</t>
        </is>
      </c>
      <c r="D12" s="14" t="inlineStr">
        <is>
          <t>COMPLETED</t>
        </is>
      </c>
      <c r="E12" s="13" t="inlineStr">
        <is>
          <t>Driver (pool owner)</t>
        </is>
      </c>
      <c r="F12" s="13" t="inlineStr">
        <is>
          <t>Member belongs to driver's STARTED pool</t>
        </is>
      </c>
      <c r="G12" s="13" t="inlineStr">
        <is>
          <t>Payment settlement (BR-15/16); maybe auto-complete pool; audit</t>
        </is>
      </c>
    </row>
    <row r="13" ht="33" customHeight="1">
      <c r="A13" s="9" t="inlineStr">
        <is>
          <t>PT-01</t>
        </is>
      </c>
      <c r="B13" s="9" t="inlineStr">
        <is>
          <t>Pool</t>
        </is>
      </c>
      <c r="C13" s="9" t="inlineStr">
        <is>
          <t>— / OPEN</t>
        </is>
      </c>
      <c r="D13" s="9" t="inlineStr">
        <is>
          <t>OPEN</t>
        </is>
      </c>
      <c r="E13" s="17" t="inlineStr">
        <is>
          <t>Driver</t>
        </is>
      </c>
      <c r="F13" s="17" t="inlineStr">
        <is>
          <t>Driver has no other active pool (BR-04); request compatible (BR-02); seats free (BR-01)</t>
        </is>
      </c>
      <c r="G13" s="17" t="inlineStr">
        <is>
          <t>Member added</t>
        </is>
      </c>
    </row>
    <row r="14" ht="18" customHeight="1">
      <c r="A14" s="14" t="inlineStr">
        <is>
          <t>PT-02</t>
        </is>
      </c>
      <c r="B14" s="14" t="inlineStr">
        <is>
          <t>Pool</t>
        </is>
      </c>
      <c r="C14" s="14" t="inlineStr">
        <is>
          <t>OPEN</t>
        </is>
      </c>
      <c r="D14" s="14" t="inlineStr">
        <is>
          <t>DRIVER_ARRIVED</t>
        </is>
      </c>
      <c r="E14" s="13" t="inlineStr">
        <is>
          <t>Driver (owner)</t>
        </is>
      </c>
      <c r="F14" s="13" t="inlineStr">
        <is>
          <t>≥1 member MATCHED</t>
        </is>
      </c>
      <c r="G14" s="13" t="inlineStr">
        <is>
          <t>All MATCHED members → DRIVER_ARRIVED</t>
        </is>
      </c>
    </row>
    <row r="15" ht="18" customHeight="1">
      <c r="A15" s="9" t="inlineStr">
        <is>
          <t>PT-03</t>
        </is>
      </c>
      <c r="B15" s="9" t="inlineStr">
        <is>
          <t>Pool</t>
        </is>
      </c>
      <c r="C15" s="9" t="inlineStr">
        <is>
          <t>DRIVER_ARRIVED</t>
        </is>
      </c>
      <c r="D15" s="9" t="inlineStr">
        <is>
          <t>STARTED</t>
        </is>
      </c>
      <c r="E15" s="17" t="inlineStr">
        <is>
          <t>Driver (owner)</t>
        </is>
      </c>
      <c r="F15" s="17" t="inlineStr">
        <is>
          <t>≥1 member DRIVER_ARRIVED</t>
        </is>
      </c>
      <c r="G15" s="17" t="inlineStr">
        <is>
          <t>All DRIVER_ARRIVED members → STARTED; fares locked</t>
        </is>
      </c>
    </row>
    <row r="16" ht="18" customHeight="1">
      <c r="A16" s="14" t="inlineStr">
        <is>
          <t>PT-04</t>
        </is>
      </c>
      <c r="B16" s="14" t="inlineStr">
        <is>
          <t>Pool</t>
        </is>
      </c>
      <c r="C16" s="14" t="inlineStr">
        <is>
          <t>OPEN / DRIVER_ARRIVED</t>
        </is>
      </c>
      <c r="D16" s="14" t="inlineStr">
        <is>
          <t>CANCELLED</t>
        </is>
      </c>
      <c r="E16" s="13" t="inlineStr">
        <is>
          <t>Driver (owner)</t>
        </is>
      </c>
      <c r="F16" s="13" t="inlineStr">
        <is>
          <t>—</t>
        </is>
      </c>
      <c r="G16" s="13" t="inlineStr">
        <is>
          <t>Active members → REQUESTED (RT-07/RT-10)</t>
        </is>
      </c>
    </row>
    <row r="17" ht="18" customHeight="1">
      <c r="A17" s="9" t="inlineStr">
        <is>
          <t>PT-05</t>
        </is>
      </c>
      <c r="B17" s="9" t="inlineStr">
        <is>
          <t>Pool</t>
        </is>
      </c>
      <c r="C17" s="9" t="inlineStr">
        <is>
          <t>OPEN / DRIVER_ARRIVED</t>
        </is>
      </c>
      <c r="D17" s="9" t="inlineStr">
        <is>
          <t>CANCELLED</t>
        </is>
      </c>
      <c r="E17" s="17" t="inlineStr">
        <is>
          <t>System</t>
        </is>
      </c>
      <c r="F17" s="17" t="inlineStr">
        <is>
          <t>Active member count reaches 0</t>
        </is>
      </c>
      <c r="G17" s="17" t="inlineStr">
        <is>
          <t>Driver freed (reason ALL_MEMBERS_CANCELLED)</t>
        </is>
      </c>
    </row>
    <row r="18" ht="18" customHeight="1">
      <c r="A18" s="14" t="inlineStr">
        <is>
          <t>PT-06</t>
        </is>
      </c>
      <c r="B18" s="14" t="inlineStr">
        <is>
          <t>Pool</t>
        </is>
      </c>
      <c r="C18" s="14" t="inlineStr">
        <is>
          <t>STARTED</t>
        </is>
      </c>
      <c r="D18" s="14" t="inlineStr">
        <is>
          <t>COMPLETED</t>
        </is>
      </c>
      <c r="E18" s="13" t="inlineStr">
        <is>
          <t>System</t>
        </is>
      </c>
      <c r="F18" s="13" t="inlineStr">
        <is>
          <t>Every on-board member COMPLETED</t>
        </is>
      </c>
      <c r="G18" s="13" t="inlineStr">
        <is>
          <t>Driver's zone := last drop-off zone</t>
        </is>
      </c>
    </row>
    <row r="20">
      <c r="A20" s="5" t="inlineStr">
        <is>
          <t>Ride request — allowed transitions matrix (P = passenger, D = driver, S = system; blank = rejected with 409)</t>
        </is>
      </c>
    </row>
    <row r="21">
      <c r="A21" s="12" t="inlineStr">
        <is>
          <t>From \ To</t>
        </is>
      </c>
      <c r="B21" s="7" t="inlineStr">
        <is>
          <t>REQUESTED</t>
        </is>
      </c>
      <c r="C21" s="7" t="inlineStr">
        <is>
          <t>MATCHED</t>
        </is>
      </c>
      <c r="D21" s="7" t="inlineStr">
        <is>
          <t>DRIVER_ARRIVED</t>
        </is>
      </c>
      <c r="E21" s="7" t="inlineStr">
        <is>
          <t>STARTED</t>
        </is>
      </c>
      <c r="F21" s="7" t="inlineStr">
        <is>
          <t>COMPLETED</t>
        </is>
      </c>
      <c r="G21" s="7" t="inlineStr">
        <is>
          <t>CANCELLED</t>
        </is>
      </c>
      <c r="H21" s="7" t="inlineStr">
        <is>
          <t>EXPIRED</t>
        </is>
      </c>
    </row>
    <row r="22">
      <c r="A22" s="10" t="inlineStr">
        <is>
          <t>REQUESTED</t>
        </is>
      </c>
      <c r="B22" s="19" t="inlineStr"/>
      <c r="C22" s="20" t="inlineStr">
        <is>
          <t>D</t>
        </is>
      </c>
      <c r="D22" s="19" t="inlineStr"/>
      <c r="E22" s="19" t="inlineStr"/>
      <c r="F22" s="19" t="inlineStr"/>
      <c r="G22" s="20" t="inlineStr">
        <is>
          <t>P</t>
        </is>
      </c>
      <c r="H22" s="20" t="inlineStr">
        <is>
          <t>S</t>
        </is>
      </c>
    </row>
    <row r="23">
      <c r="A23" s="10" t="inlineStr">
        <is>
          <t>MATCHED</t>
        </is>
      </c>
      <c r="B23" s="20" t="inlineStr">
        <is>
          <t>D</t>
        </is>
      </c>
      <c r="C23" s="19" t="inlineStr"/>
      <c r="D23" s="20" t="inlineStr">
        <is>
          <t>D</t>
        </is>
      </c>
      <c r="E23" s="19" t="inlineStr"/>
      <c r="F23" s="19" t="inlineStr"/>
      <c r="G23" s="20" t="inlineStr">
        <is>
          <t>P</t>
        </is>
      </c>
      <c r="H23" s="19" t="inlineStr"/>
    </row>
    <row r="24">
      <c r="A24" s="10" t="inlineStr">
        <is>
          <t>DRIVER_ARRIVED</t>
        </is>
      </c>
      <c r="B24" s="20" t="inlineStr">
        <is>
          <t>D</t>
        </is>
      </c>
      <c r="C24" s="19" t="inlineStr"/>
      <c r="D24" s="19" t="inlineStr"/>
      <c r="E24" s="20" t="inlineStr">
        <is>
          <t>D</t>
        </is>
      </c>
      <c r="F24" s="19" t="inlineStr"/>
      <c r="G24" s="20" t="inlineStr">
        <is>
          <t>P, D (no-show)</t>
        </is>
      </c>
      <c r="H24" s="19" t="inlineStr"/>
    </row>
    <row r="25">
      <c r="A25" s="10" t="inlineStr">
        <is>
          <t>STARTED</t>
        </is>
      </c>
      <c r="B25" s="19" t="inlineStr"/>
      <c r="C25" s="19" t="inlineStr"/>
      <c r="D25" s="19" t="inlineStr"/>
      <c r="E25" s="19" t="inlineStr"/>
      <c r="F25" s="20" t="inlineStr">
        <is>
          <t>D</t>
        </is>
      </c>
      <c r="G25" s="19" t="inlineStr"/>
      <c r="H25" s="19" t="inlineStr"/>
    </row>
    <row r="26">
      <c r="A26" s="10" t="inlineStr">
        <is>
          <t>COMPLETED</t>
        </is>
      </c>
      <c r="B26" s="19" t="inlineStr"/>
      <c r="C26" s="19" t="inlineStr"/>
      <c r="D26" s="19" t="inlineStr"/>
      <c r="E26" s="19" t="inlineStr"/>
      <c r="F26" s="19" t="inlineStr"/>
      <c r="G26" s="19" t="inlineStr"/>
      <c r="H26" s="19" t="inlineStr"/>
    </row>
    <row r="27">
      <c r="A27" s="10" t="inlineStr">
        <is>
          <t>CANCELLED</t>
        </is>
      </c>
      <c r="B27" s="19" t="inlineStr"/>
      <c r="C27" s="19" t="inlineStr"/>
      <c r="D27" s="19" t="inlineStr"/>
      <c r="E27" s="19" t="inlineStr"/>
      <c r="F27" s="19" t="inlineStr"/>
      <c r="G27" s="19" t="inlineStr"/>
      <c r="H27" s="19" t="inlineStr"/>
    </row>
    <row r="28">
      <c r="A28" s="10" t="inlineStr">
        <is>
          <t>EXPIRED</t>
        </is>
      </c>
      <c r="B28" s="19" t="inlineStr"/>
      <c r="C28" s="19" t="inlineStr"/>
      <c r="D28" s="19" t="inlineStr"/>
      <c r="E28" s="19" t="inlineStr"/>
      <c r="F28" s="19" t="inlineStr"/>
      <c r="G28" s="19" t="inlineStr"/>
      <c r="H28" s="19" t="inlineStr"/>
    </row>
    <row r="30">
      <c r="A30" s="5" t="inlineStr">
        <is>
          <t>Pool — allowed transitions matrix</t>
        </is>
      </c>
    </row>
    <row r="31">
      <c r="A31" s="12" t="inlineStr">
        <is>
          <t>From \ To</t>
        </is>
      </c>
      <c r="B31" s="7" t="inlineStr">
        <is>
          <t>OPEN</t>
        </is>
      </c>
      <c r="C31" s="7" t="inlineStr">
        <is>
          <t>DRIVER_ARRIVED</t>
        </is>
      </c>
      <c r="D31" s="7" t="inlineStr">
        <is>
          <t>STARTED</t>
        </is>
      </c>
      <c r="E31" s="7" t="inlineStr">
        <is>
          <t>COMPLETED</t>
        </is>
      </c>
      <c r="F31" s="7" t="inlineStr">
        <is>
          <t>CANCELLED</t>
        </is>
      </c>
    </row>
    <row r="32">
      <c r="A32" s="10" t="inlineStr">
        <is>
          <t>OPEN</t>
        </is>
      </c>
      <c r="B32" s="20" t="inlineStr">
        <is>
          <t>D (add member)</t>
        </is>
      </c>
      <c r="C32" s="20" t="inlineStr">
        <is>
          <t>D</t>
        </is>
      </c>
      <c r="D32" s="19" t="inlineStr"/>
      <c r="E32" s="19" t="inlineStr"/>
      <c r="F32" s="20" t="inlineStr">
        <is>
          <t>D, S</t>
        </is>
      </c>
    </row>
    <row r="33">
      <c r="A33" s="10" t="inlineStr">
        <is>
          <t>DRIVER_ARRIVED</t>
        </is>
      </c>
      <c r="B33" s="19" t="inlineStr"/>
      <c r="C33" s="19" t="inlineStr"/>
      <c r="D33" s="20" t="inlineStr">
        <is>
          <t>D</t>
        </is>
      </c>
      <c r="E33" s="19" t="inlineStr"/>
      <c r="F33" s="20" t="inlineStr">
        <is>
          <t>D, S</t>
        </is>
      </c>
    </row>
    <row r="34">
      <c r="A34" s="10" t="inlineStr">
        <is>
          <t>STARTED</t>
        </is>
      </c>
      <c r="B34" s="19" t="inlineStr"/>
      <c r="C34" s="19" t="inlineStr"/>
      <c r="D34" s="19" t="inlineStr"/>
      <c r="E34" s="20" t="inlineStr">
        <is>
          <t>S</t>
        </is>
      </c>
      <c r="F34" s="19" t="inlineStr"/>
    </row>
    <row r="35">
      <c r="A35" s="10" t="inlineStr">
        <is>
          <t>COMPLETED</t>
        </is>
      </c>
      <c r="B35" s="19" t="inlineStr"/>
      <c r="C35" s="19" t="inlineStr"/>
      <c r="D35" s="19" t="inlineStr"/>
      <c r="E35" s="19" t="inlineStr"/>
      <c r="F35" s="19" t="inlineStr"/>
    </row>
    <row r="36">
      <c r="A36" s="10" t="inlineStr">
        <is>
          <t>CANCELLED</t>
        </is>
      </c>
      <c r="B36" s="19" t="inlineStr"/>
      <c r="C36" s="19" t="inlineStr"/>
      <c r="D36" s="19" t="inlineStr"/>
      <c r="E36" s="19" t="inlineStr"/>
      <c r="F36" s="19" t="inlineStr"/>
    </row>
  </sheetData>
  <autoFilter ref="A1:G18"/>
  <pageMargins left="0.75" right="0.75" top="1" bottom="1" header="0.5" footer="0.5"/>
</worksheet>
</file>

<file path=xl/worksheets/sheet7.xml><?xml version="1.0" encoding="utf-8"?>
<worksheet xmlns="http://schemas.openxmlformats.org/spreadsheetml/2006/main">
  <sheetPr>
    <tabColor rgb="00808080"/>
    <outlinePr summaryBelow="1" summaryRight="1"/>
    <pageSetUpPr/>
  </sheetPr>
  <dimension ref="A1:K27"/>
  <sheetViews>
    <sheetView workbookViewId="0">
      <pane ySplit="2" topLeftCell="A3" activePane="bottomLeft" state="frozen"/>
      <selection pane="bottomLeft" activeCell="A1" sqref="A1"/>
    </sheetView>
  </sheetViews>
  <sheetFormatPr baseColWidth="8" defaultRowHeight="15"/>
  <cols>
    <col width="12" customWidth="1" min="1" max="1"/>
    <col width="16" customWidth="1" min="2" max="2"/>
    <col width="9" customWidth="1" min="3" max="3"/>
    <col width="9" customWidth="1" min="4" max="4"/>
    <col width="24" customWidth="1" min="5" max="5"/>
    <col width="9" customWidth="1" min="6" max="6"/>
    <col width="9" customWidth="1" min="7" max="7"/>
    <col width="9" customWidth="1" min="8" max="8"/>
    <col width="9" customWidth="1" min="9" max="9"/>
    <col width="9" customWidth="1" min="10" max="10"/>
    <col width="9" customWidth="1" min="11" max="11"/>
  </cols>
  <sheetData>
    <row r="1">
      <c r="A1" s="5" t="inlineStr">
        <is>
          <t>Zones (SRS §13.3)</t>
        </is>
      </c>
    </row>
    <row r="2">
      <c r="A2" s="7" t="inlineStr">
        <is>
          <t>Code</t>
        </is>
      </c>
      <c r="B2" s="7" t="inlineStr">
        <is>
          <t>Zone</t>
        </is>
      </c>
      <c r="C2" s="7" t="inlineStr">
        <is>
          <t>Lat</t>
        </is>
      </c>
      <c r="D2" s="7" t="inlineStr">
        <is>
          <t>Lng</t>
        </is>
      </c>
      <c r="E2" s="7" t="inlineStr">
        <is>
          <t>Adjacent to</t>
        </is>
      </c>
    </row>
    <row r="3">
      <c r="A3" s="8" t="inlineStr">
        <is>
          <t>BAN</t>
        </is>
      </c>
      <c r="B3" s="8" t="inlineStr">
        <is>
          <t>Banani</t>
        </is>
      </c>
      <c r="C3" s="21" t="n">
        <v>23.7937</v>
      </c>
      <c r="D3" s="21" t="n">
        <v>90.4066</v>
      </c>
      <c r="E3" s="8" t="inlineStr">
        <is>
          <t>GL1, GL2, MHK</t>
        </is>
      </c>
    </row>
    <row r="4">
      <c r="A4" s="8" t="inlineStr">
        <is>
          <t>GL1</t>
        </is>
      </c>
      <c r="B4" s="8" t="inlineStr">
        <is>
          <t>Gulshan 1</t>
        </is>
      </c>
      <c r="C4" s="21" t="n">
        <v>23.7808</v>
      </c>
      <c r="D4" s="21" t="n">
        <v>90.4169</v>
      </c>
      <c r="E4" s="8" t="inlineStr">
        <is>
          <t>BAN, GL2, MHK, TEJ</t>
        </is>
      </c>
    </row>
    <row r="5">
      <c r="A5" s="8" t="inlineStr">
        <is>
          <t>GL2</t>
        </is>
      </c>
      <c r="B5" s="8" t="inlineStr">
        <is>
          <t>Gulshan 2</t>
        </is>
      </c>
      <c r="C5" s="21" t="n">
        <v>23.7925</v>
      </c>
      <c r="D5" s="21" t="n">
        <v>90.41549999999999</v>
      </c>
      <c r="E5" s="8" t="inlineStr">
        <is>
          <t>BAN, GL1, BSH</t>
        </is>
      </c>
    </row>
    <row r="6">
      <c r="A6" s="8" t="inlineStr">
        <is>
          <t>MHK</t>
        </is>
      </c>
      <c r="B6" s="8" t="inlineStr">
        <is>
          <t>Mohakhali</t>
        </is>
      </c>
      <c r="C6" s="21" t="n">
        <v>23.778</v>
      </c>
      <c r="D6" s="21" t="n">
        <v>90.405</v>
      </c>
      <c r="E6" s="8" t="inlineStr">
        <is>
          <t>BAN, GL1, TEJ</t>
        </is>
      </c>
    </row>
    <row r="7">
      <c r="A7" s="8" t="inlineStr">
        <is>
          <t>TEJ</t>
        </is>
      </c>
      <c r="B7" s="8" t="inlineStr">
        <is>
          <t>Tejgaon</t>
        </is>
      </c>
      <c r="C7" s="21" t="n">
        <v>23.764</v>
      </c>
      <c r="D7" s="21" t="n">
        <v>90.393</v>
      </c>
      <c r="E7" s="8" t="inlineStr">
        <is>
          <t>GL1, MHK, FRM</t>
        </is>
      </c>
    </row>
    <row r="8">
      <c r="A8" s="8" t="inlineStr">
        <is>
          <t>FRM</t>
        </is>
      </c>
      <c r="B8" s="8" t="inlineStr">
        <is>
          <t>Farmgate</t>
        </is>
      </c>
      <c r="C8" s="21" t="n">
        <v>23.7561</v>
      </c>
      <c r="D8" s="21" t="n">
        <v>90.38720000000001</v>
      </c>
      <c r="E8" s="8" t="inlineStr">
        <is>
          <t>TEJ, DHN, MIR</t>
        </is>
      </c>
    </row>
    <row r="9">
      <c r="A9" s="8" t="inlineStr">
        <is>
          <t>DHN</t>
        </is>
      </c>
      <c r="B9" s="8" t="inlineStr">
        <is>
          <t>Dhanmondi</t>
        </is>
      </c>
      <c r="C9" s="21" t="n">
        <v>23.7461</v>
      </c>
      <c r="D9" s="21" t="n">
        <v>90.3742</v>
      </c>
      <c r="E9" s="8" t="inlineStr">
        <is>
          <t>FRM</t>
        </is>
      </c>
    </row>
    <row r="10">
      <c r="A10" s="8" t="inlineStr">
        <is>
          <t>MIR</t>
        </is>
      </c>
      <c r="B10" s="8" t="inlineStr">
        <is>
          <t>Mirpur</t>
        </is>
      </c>
      <c r="C10" s="21" t="n">
        <v>23.8069</v>
      </c>
      <c r="D10" s="21" t="n">
        <v>90.3687</v>
      </c>
      <c r="E10" s="8" t="inlineStr">
        <is>
          <t>FRM</t>
        </is>
      </c>
    </row>
    <row r="11">
      <c r="A11" s="8" t="inlineStr">
        <is>
          <t>UTR</t>
        </is>
      </c>
      <c r="B11" s="8" t="inlineStr">
        <is>
          <t>Uttara</t>
        </is>
      </c>
      <c r="C11" s="21" t="n">
        <v>23.8759</v>
      </c>
      <c r="D11" s="21" t="n">
        <v>90.37949999999999</v>
      </c>
      <c r="E11" s="8" t="inlineStr">
        <is>
          <t>BSH</t>
        </is>
      </c>
    </row>
    <row r="12">
      <c r="A12" s="8" t="inlineStr">
        <is>
          <t>BSH</t>
        </is>
      </c>
      <c r="B12" s="8" t="inlineStr">
        <is>
          <t>Bashundhara</t>
        </is>
      </c>
      <c r="C12" s="21" t="n">
        <v>23.8193</v>
      </c>
      <c r="D12" s="21" t="n">
        <v>90.4526</v>
      </c>
      <c r="E12" s="8" t="inlineStr">
        <is>
          <t>GL2, UTR</t>
        </is>
      </c>
    </row>
    <row r="14">
      <c r="A14" s="5" t="inlineStr">
        <is>
          <t>Road-approximation distance (km, symmetric). Blue = reference input; edit only with an SRS change.</t>
        </is>
      </c>
    </row>
    <row r="15">
      <c r="A15" s="12" t="inlineStr">
        <is>
          <t>From \ To</t>
        </is>
      </c>
      <c r="B15" s="7" t="inlineStr">
        <is>
          <t>BAN</t>
        </is>
      </c>
      <c r="C15" s="7" t="inlineStr">
        <is>
          <t>GL1</t>
        </is>
      </c>
      <c r="D15" s="7" t="inlineStr">
        <is>
          <t>GL2</t>
        </is>
      </c>
      <c r="E15" s="7" t="inlineStr">
        <is>
          <t>MHK</t>
        </is>
      </c>
      <c r="F15" s="7" t="inlineStr">
        <is>
          <t>TEJ</t>
        </is>
      </c>
      <c r="G15" s="7" t="inlineStr">
        <is>
          <t>FRM</t>
        </is>
      </c>
      <c r="H15" s="7" t="inlineStr">
        <is>
          <t>DHN</t>
        </is>
      </c>
      <c r="I15" s="7" t="inlineStr">
        <is>
          <t>MIR</t>
        </is>
      </c>
      <c r="J15" s="7" t="inlineStr">
        <is>
          <t>UTR</t>
        </is>
      </c>
      <c r="K15" s="7" t="inlineStr">
        <is>
          <t>BSH</t>
        </is>
      </c>
    </row>
    <row r="16">
      <c r="A16" s="10" t="inlineStr">
        <is>
          <t>BAN</t>
        </is>
      </c>
      <c r="B16" s="22" t="n">
        <v>0</v>
      </c>
      <c r="C16" s="23" t="n">
        <v>2.5</v>
      </c>
      <c r="D16" s="23" t="n">
        <v>2</v>
      </c>
      <c r="E16" s="23" t="n">
        <v>3</v>
      </c>
      <c r="F16" s="23" t="n">
        <v>5</v>
      </c>
      <c r="G16" s="23" t="n">
        <v>7</v>
      </c>
      <c r="H16" s="23" t="n">
        <v>10</v>
      </c>
      <c r="I16" s="23" t="n">
        <v>8.5</v>
      </c>
      <c r="J16" s="23" t="n">
        <v>11</v>
      </c>
      <c r="K16" s="23" t="n">
        <v>5.5</v>
      </c>
    </row>
    <row r="17">
      <c r="A17" s="10" t="inlineStr">
        <is>
          <t>GL1</t>
        </is>
      </c>
      <c r="B17" s="23" t="n">
        <v>2.5</v>
      </c>
      <c r="C17" s="22" t="n">
        <v>0</v>
      </c>
      <c r="D17" s="23" t="n">
        <v>2</v>
      </c>
      <c r="E17" s="23" t="n">
        <v>2.5</v>
      </c>
      <c r="F17" s="23" t="n">
        <v>4</v>
      </c>
      <c r="G17" s="23" t="n">
        <v>6.5</v>
      </c>
      <c r="H17" s="23" t="n">
        <v>9.5</v>
      </c>
      <c r="I17" s="23" t="n">
        <v>10</v>
      </c>
      <c r="J17" s="23" t="n">
        <v>13</v>
      </c>
      <c r="K17" s="23" t="n">
        <v>6</v>
      </c>
    </row>
    <row r="18">
      <c r="A18" s="10" t="inlineStr">
        <is>
          <t>GL2</t>
        </is>
      </c>
      <c r="B18" s="23" t="n">
        <v>2</v>
      </c>
      <c r="C18" s="23" t="n">
        <v>2</v>
      </c>
      <c r="D18" s="22" t="n">
        <v>0</v>
      </c>
      <c r="E18" s="23" t="n">
        <v>4</v>
      </c>
      <c r="F18" s="23" t="n">
        <v>5.5</v>
      </c>
      <c r="G18" s="23" t="n">
        <v>8</v>
      </c>
      <c r="H18" s="23" t="n">
        <v>11</v>
      </c>
      <c r="I18" s="23" t="n">
        <v>10</v>
      </c>
      <c r="J18" s="23" t="n">
        <v>12</v>
      </c>
      <c r="K18" s="23" t="n">
        <v>4.5</v>
      </c>
    </row>
    <row r="19">
      <c r="A19" s="10" t="inlineStr">
        <is>
          <t>MHK</t>
        </is>
      </c>
      <c r="B19" s="23" t="n">
        <v>3</v>
      </c>
      <c r="C19" s="23" t="n">
        <v>2.5</v>
      </c>
      <c r="D19" s="23" t="n">
        <v>4</v>
      </c>
      <c r="E19" s="22" t="n">
        <v>0</v>
      </c>
      <c r="F19" s="23" t="n">
        <v>2.5</v>
      </c>
      <c r="G19" s="23" t="n">
        <v>4.5</v>
      </c>
      <c r="H19" s="23" t="n">
        <v>7.5</v>
      </c>
      <c r="I19" s="23" t="n">
        <v>8</v>
      </c>
      <c r="J19" s="23" t="n">
        <v>13.5</v>
      </c>
      <c r="K19" s="23" t="n">
        <v>7.5</v>
      </c>
    </row>
    <row r="20">
      <c r="A20" s="10" t="inlineStr">
        <is>
          <t>TEJ</t>
        </is>
      </c>
      <c r="B20" s="23" t="n">
        <v>5</v>
      </c>
      <c r="C20" s="23" t="n">
        <v>4</v>
      </c>
      <c r="D20" s="23" t="n">
        <v>5.5</v>
      </c>
      <c r="E20" s="23" t="n">
        <v>2.5</v>
      </c>
      <c r="F20" s="22" t="n">
        <v>0</v>
      </c>
      <c r="G20" s="23" t="n">
        <v>2.5</v>
      </c>
      <c r="H20" s="23" t="n">
        <v>5.5</v>
      </c>
      <c r="I20" s="23" t="n">
        <v>8.5</v>
      </c>
      <c r="J20" s="23" t="n">
        <v>15</v>
      </c>
      <c r="K20" s="23" t="n">
        <v>8.5</v>
      </c>
    </row>
    <row r="21">
      <c r="A21" s="10" t="inlineStr">
        <is>
          <t>FRM</t>
        </is>
      </c>
      <c r="B21" s="23" t="n">
        <v>7</v>
      </c>
      <c r="C21" s="23" t="n">
        <v>6.5</v>
      </c>
      <c r="D21" s="23" t="n">
        <v>8</v>
      </c>
      <c r="E21" s="23" t="n">
        <v>4.5</v>
      </c>
      <c r="F21" s="23" t="n">
        <v>2.5</v>
      </c>
      <c r="G21" s="22" t="n">
        <v>0</v>
      </c>
      <c r="H21" s="23" t="n">
        <v>3.5</v>
      </c>
      <c r="I21" s="23" t="n">
        <v>7</v>
      </c>
      <c r="J21" s="23" t="n">
        <v>17</v>
      </c>
      <c r="K21" s="23" t="n">
        <v>10.5</v>
      </c>
    </row>
    <row r="22">
      <c r="A22" s="10" t="inlineStr">
        <is>
          <t>DHN</t>
        </is>
      </c>
      <c r="B22" s="23" t="n">
        <v>10</v>
      </c>
      <c r="C22" s="23" t="n">
        <v>9.5</v>
      </c>
      <c r="D22" s="23" t="n">
        <v>11</v>
      </c>
      <c r="E22" s="23" t="n">
        <v>7.5</v>
      </c>
      <c r="F22" s="23" t="n">
        <v>5.5</v>
      </c>
      <c r="G22" s="23" t="n">
        <v>3.5</v>
      </c>
      <c r="H22" s="22" t="n">
        <v>0</v>
      </c>
      <c r="I22" s="23" t="n">
        <v>8</v>
      </c>
      <c r="J22" s="23" t="n">
        <v>20</v>
      </c>
      <c r="K22" s="23" t="n">
        <v>13.5</v>
      </c>
    </row>
    <row r="23">
      <c r="A23" s="10" t="inlineStr">
        <is>
          <t>MIR</t>
        </is>
      </c>
      <c r="B23" s="23" t="n">
        <v>8.5</v>
      </c>
      <c r="C23" s="23" t="n">
        <v>10</v>
      </c>
      <c r="D23" s="23" t="n">
        <v>10</v>
      </c>
      <c r="E23" s="23" t="n">
        <v>8</v>
      </c>
      <c r="F23" s="23" t="n">
        <v>8.5</v>
      </c>
      <c r="G23" s="23" t="n">
        <v>7</v>
      </c>
      <c r="H23" s="23" t="n">
        <v>8</v>
      </c>
      <c r="I23" s="22" t="n">
        <v>0</v>
      </c>
      <c r="J23" s="23" t="n">
        <v>12</v>
      </c>
      <c r="K23" s="23" t="n">
        <v>11.5</v>
      </c>
    </row>
    <row r="24">
      <c r="A24" s="10" t="inlineStr">
        <is>
          <t>UTR</t>
        </is>
      </c>
      <c r="B24" s="23" t="n">
        <v>11</v>
      </c>
      <c r="C24" s="23" t="n">
        <v>13</v>
      </c>
      <c r="D24" s="23" t="n">
        <v>12</v>
      </c>
      <c r="E24" s="23" t="n">
        <v>13.5</v>
      </c>
      <c r="F24" s="23" t="n">
        <v>15</v>
      </c>
      <c r="G24" s="23" t="n">
        <v>17</v>
      </c>
      <c r="H24" s="23" t="n">
        <v>20</v>
      </c>
      <c r="I24" s="23" t="n">
        <v>12</v>
      </c>
      <c r="J24" s="22" t="n">
        <v>0</v>
      </c>
      <c r="K24" s="23" t="n">
        <v>9</v>
      </c>
    </row>
    <row r="25">
      <c r="A25" s="10" t="inlineStr">
        <is>
          <t>BSH</t>
        </is>
      </c>
      <c r="B25" s="23" t="n">
        <v>5.5</v>
      </c>
      <c r="C25" s="23" t="n">
        <v>6</v>
      </c>
      <c r="D25" s="23" t="n">
        <v>4.5</v>
      </c>
      <c r="E25" s="23" t="n">
        <v>7.5</v>
      </c>
      <c r="F25" s="23" t="n">
        <v>8.5</v>
      </c>
      <c r="G25" s="23" t="n">
        <v>10.5</v>
      </c>
      <c r="H25" s="23" t="n">
        <v>13.5</v>
      </c>
      <c r="I25" s="23" t="n">
        <v>11.5</v>
      </c>
      <c r="J25" s="23" t="n">
        <v>9</v>
      </c>
      <c r="K25" s="22" t="n">
        <v>0</v>
      </c>
    </row>
    <row r="27">
      <c r="A27" s="3" t="inlineStr">
        <is>
          <t>Symmetry check (asymmetric cells):</t>
        </is>
      </c>
      <c r="D27">
        <f>SUMPRODUCT(--(B16:K25&lt;&gt;TRANSPOSE(B16:K25)))</f>
        <v/>
      </c>
      <c r="E27" s="18" t="inlineStr">
        <is>
          <t>must be 0</t>
        </is>
      </c>
    </row>
  </sheetData>
  <pageMargins left="0.75" right="0.75" top="1" bottom="1" header="0.5" footer="0.5"/>
</worksheet>
</file>

<file path=xl/worksheets/sheet8.xml><?xml version="1.0" encoding="utf-8"?>
<worksheet xmlns="http://schemas.openxmlformats.org/spreadsheetml/2006/main">
  <sheetPr>
    <tabColor rgb="00BF8F00"/>
    <outlinePr summaryBelow="1" summaryRight="1"/>
    <pageSetUpPr/>
  </sheetPr>
  <dimension ref="A1:N21"/>
  <sheetViews>
    <sheetView workbookViewId="0">
      <selection activeCell="A1" sqref="A1"/>
    </sheetView>
  </sheetViews>
  <sheetFormatPr baseColWidth="8" defaultRowHeight="15"/>
  <cols>
    <col width="34" customWidth="1" min="1" max="1"/>
    <col width="11" customWidth="1" min="2" max="2"/>
    <col width="9" customWidth="1" min="3" max="3"/>
    <col width="11" customWidth="1" min="4" max="4"/>
    <col width="7" customWidth="1" min="5" max="5"/>
    <col width="11" customWidth="1" min="6" max="6"/>
    <col width="12" customWidth="1" min="7" max="7"/>
    <col width="13" customWidth="1" min="8" max="8"/>
    <col width="12" customWidth="1" min="9" max="9"/>
    <col width="12" customWidth="1" min="10" max="10"/>
    <col width="12" customWidth="1" min="11" max="11"/>
    <col width="12" customWidth="1" min="12" max="12"/>
    <col width="16" customWidth="1" min="13" max="13"/>
    <col width="11" customWidth="1" min="14" max="14"/>
  </cols>
  <sheetData>
    <row r="1">
      <c r="A1" s="1" t="inlineStr">
        <is>
          <t>Fare calculator — BR-10 (hand-verifiable, all amounts in paisa)</t>
        </is>
      </c>
    </row>
    <row r="2" ht="30" customHeight="1">
      <c r="A2" s="24" t="inlineStr">
        <is>
          <t>Blue cells are inputs. Yellow row is a free-play row. Formula: distanceCharge = ROUND(distance_m × perKm / 1000); discount = pooled ? ROUND(distanceCharge × bps / 10000) : 0; perSeat = base + distanceCharge − discount; total = perSeat × seats.</t>
        </is>
      </c>
    </row>
    <row r="4">
      <c r="A4" s="5" t="inlineStr">
        <is>
          <t>Rates (BR-11)</t>
        </is>
      </c>
    </row>
    <row r="5">
      <c r="A5" s="4" t="inlineStr">
        <is>
          <t>Base fare (paisa)</t>
        </is>
      </c>
      <c r="C5" s="25" t="n">
        <v>3000</v>
      </c>
      <c r="D5" s="18" t="inlineStr">
        <is>
          <t>Source: SRS BR-11 (user-confirmed fare model D-06)</t>
        </is>
      </c>
    </row>
    <row r="6">
      <c r="A6" s="4" t="inlineStr">
        <is>
          <t>Per km (paisa)</t>
        </is>
      </c>
      <c r="C6" s="25" t="n">
        <v>1500</v>
      </c>
    </row>
    <row r="7">
      <c r="A7" s="4" t="inlineStr">
        <is>
          <t>Pool discount (bps of distance charge)</t>
        </is>
      </c>
      <c r="C7" s="25" t="n">
        <v>2000</v>
      </c>
    </row>
    <row r="8">
      <c r="A8" s="4" t="inlineStr">
        <is>
          <t>Cancellation fee (paisa)</t>
        </is>
      </c>
      <c r="C8" s="25" t="n">
        <v>2000</v>
      </c>
    </row>
    <row r="11">
      <c r="A11" s="7" t="inlineStr">
        <is>
          <t>Scenario</t>
        </is>
      </c>
      <c r="B11" s="7" t="inlineStr">
        <is>
          <t>Passenger</t>
        </is>
      </c>
      <c r="C11" s="7" t="inlineStr">
        <is>
          <t>Pickup</t>
        </is>
      </c>
      <c r="D11" s="7" t="inlineStr">
        <is>
          <t>Destination</t>
        </is>
      </c>
      <c r="E11" s="7" t="inlineStr">
        <is>
          <t>Seats</t>
        </is>
      </c>
      <c r="F11" s="7" t="inlineStr">
        <is>
          <t>Pooled (Y/N)</t>
        </is>
      </c>
      <c r="G11" s="7" t="inlineStr">
        <is>
          <t>Distance (m)</t>
        </is>
      </c>
      <c r="H11" s="7" t="inlineStr">
        <is>
          <t>Distance charge</t>
        </is>
      </c>
      <c r="I11" s="7" t="inlineStr">
        <is>
          <t>Pool discount</t>
        </is>
      </c>
      <c r="J11" s="7" t="inlineStr">
        <is>
          <t>Fare per seat</t>
        </is>
      </c>
      <c r="K11" s="7" t="inlineStr">
        <is>
          <t>Total (paisa)</t>
        </is>
      </c>
      <c r="L11" s="7" t="inlineStr">
        <is>
          <t>Total (৳)</t>
        </is>
      </c>
      <c r="M11" s="7" t="inlineStr">
        <is>
          <t>Expected (SRS §6.4)</t>
        </is>
      </c>
      <c r="N11" s="7" t="inlineStr">
        <is>
          <t>Check</t>
        </is>
      </c>
    </row>
    <row r="12">
      <c r="A12" s="17" t="inlineStr">
        <is>
          <t>E1 pooled</t>
        </is>
      </c>
      <c r="B12" s="17" t="inlineStr">
        <is>
          <t>Nusrat</t>
        </is>
      </c>
      <c r="C12" s="26" t="inlineStr">
        <is>
          <t>BAN</t>
        </is>
      </c>
      <c r="D12" s="26" t="inlineStr">
        <is>
          <t>MHK</t>
        </is>
      </c>
      <c r="E12" s="26" t="n">
        <v>1</v>
      </c>
      <c r="F12" s="26" t="inlineStr">
        <is>
          <t>Y</t>
        </is>
      </c>
      <c r="G12" s="27">
        <f>INDEX(Zones_Distances!$B$16:$K$25,MATCH(C12,Zones_Distances!$A$16:$A$25,0),MATCH(D12,Zones_Distances!$B$15:$K$15,0))*1000</f>
        <v/>
      </c>
      <c r="H12" s="27">
        <f>ROUND(G12*$C$6/1000,0)</f>
        <v/>
      </c>
      <c r="I12" s="27">
        <f>IF(F12="Y",ROUND(H12*$C$7/10000,0),0)</f>
        <v/>
      </c>
      <c r="J12" s="27">
        <f>$C$5+H12-I12</f>
        <v/>
      </c>
      <c r="K12" s="27">
        <f>J12*E12</f>
        <v/>
      </c>
      <c r="L12" s="28">
        <f>K12/100</f>
        <v/>
      </c>
      <c r="M12" s="29" t="n">
        <v>6600</v>
      </c>
      <c r="N12" s="11">
        <f>IF(M12="","—",IF(K12=M12,"OK","MISMATCH"))</f>
        <v/>
      </c>
    </row>
    <row r="13">
      <c r="A13" s="17" t="inlineStr">
        <is>
          <t>E1 pooled</t>
        </is>
      </c>
      <c r="B13" s="17" t="inlineStr">
        <is>
          <t>Rafiq</t>
        </is>
      </c>
      <c r="C13" s="26" t="inlineStr">
        <is>
          <t>BAN</t>
        </is>
      </c>
      <c r="D13" s="26" t="inlineStr">
        <is>
          <t>GL1</t>
        </is>
      </c>
      <c r="E13" s="26" t="n">
        <v>1</v>
      </c>
      <c r="F13" s="26" t="inlineStr">
        <is>
          <t>Y</t>
        </is>
      </c>
      <c r="G13" s="27">
        <f>INDEX(Zones_Distances!$B$16:$K$25,MATCH(C13,Zones_Distances!$A$16:$A$25,0),MATCH(D13,Zones_Distances!$B$15:$K$15,0))*1000</f>
        <v/>
      </c>
      <c r="H13" s="27">
        <f>ROUND(G13*$C$6/1000,0)</f>
        <v/>
      </c>
      <c r="I13" s="27">
        <f>IF(F13="Y",ROUND(H13*$C$7/10000,0),0)</f>
        <v/>
      </c>
      <c r="J13" s="27">
        <f>$C$5+H13-I13</f>
        <v/>
      </c>
      <c r="K13" s="27">
        <f>J13*E13</f>
        <v/>
      </c>
      <c r="L13" s="28">
        <f>K13/100</f>
        <v/>
      </c>
      <c r="M13" s="29" t="n">
        <v>6000</v>
      </c>
      <c r="N13" s="11">
        <f>IF(M13="","—",IF(K13=M13,"OK","MISMATCH"))</f>
        <v/>
      </c>
    </row>
    <row r="14">
      <c r="A14" s="17" t="inlineStr">
        <is>
          <t>Solo</t>
        </is>
      </c>
      <c r="B14" s="17" t="inlineStr">
        <is>
          <t>Nusrat</t>
        </is>
      </c>
      <c r="C14" s="26" t="inlineStr">
        <is>
          <t>BAN</t>
        </is>
      </c>
      <c r="D14" s="26" t="inlineStr">
        <is>
          <t>MHK</t>
        </is>
      </c>
      <c r="E14" s="26" t="n">
        <v>1</v>
      </c>
      <c r="F14" s="26" t="inlineStr">
        <is>
          <t>N</t>
        </is>
      </c>
      <c r="G14" s="27">
        <f>INDEX(Zones_Distances!$B$16:$K$25,MATCH(C14,Zones_Distances!$A$16:$A$25,0),MATCH(D14,Zones_Distances!$B$15:$K$15,0))*1000</f>
        <v/>
      </c>
      <c r="H14" s="27">
        <f>ROUND(G14*$C$6/1000,0)</f>
        <v/>
      </c>
      <c r="I14" s="27">
        <f>IF(F14="Y",ROUND(H14*$C$7/10000,0),0)</f>
        <v/>
      </c>
      <c r="J14" s="27">
        <f>$C$5+H14-I14</f>
        <v/>
      </c>
      <c r="K14" s="27">
        <f>J14*E14</f>
        <v/>
      </c>
      <c r="L14" s="28">
        <f>K14/100</f>
        <v/>
      </c>
      <c r="M14" s="29" t="n">
        <v>7500</v>
      </c>
      <c r="N14" s="11">
        <f>IF(M14="","—",IF(K14=M14,"OK","MISMATCH"))</f>
        <v/>
      </c>
    </row>
    <row r="15">
      <c r="A15" s="17" t="inlineStr">
        <is>
          <t>Solo</t>
        </is>
      </c>
      <c r="B15" s="17" t="inlineStr">
        <is>
          <t>Rafiq</t>
        </is>
      </c>
      <c r="C15" s="26" t="inlineStr">
        <is>
          <t>BAN</t>
        </is>
      </c>
      <c r="D15" s="26" t="inlineStr">
        <is>
          <t>GL1</t>
        </is>
      </c>
      <c r="E15" s="26" t="n">
        <v>1</v>
      </c>
      <c r="F15" s="26" t="inlineStr">
        <is>
          <t>N</t>
        </is>
      </c>
      <c r="G15" s="27">
        <f>INDEX(Zones_Distances!$B$16:$K$25,MATCH(C15,Zones_Distances!$A$16:$A$25,0),MATCH(D15,Zones_Distances!$B$15:$K$15,0))*1000</f>
        <v/>
      </c>
      <c r="H15" s="27">
        <f>ROUND(G15*$C$6/1000,0)</f>
        <v/>
      </c>
      <c r="I15" s="27">
        <f>IF(F15="Y",ROUND(H15*$C$7/10000,0),0)</f>
        <v/>
      </c>
      <c r="J15" s="27">
        <f>$C$5+H15-I15</f>
        <v/>
      </c>
      <c r="K15" s="27">
        <f>J15*E15</f>
        <v/>
      </c>
      <c r="L15" s="28">
        <f>K15/100</f>
        <v/>
      </c>
      <c r="M15" s="29" t="n">
        <v>6750</v>
      </c>
      <c r="N15" s="11">
        <f>IF(M15="","—",IF(K15=M15,"OK","MISMATCH"))</f>
        <v/>
      </c>
    </row>
    <row r="16">
      <c r="A16" s="17" t="inlineStr">
        <is>
          <t>Pooled (3rd seat)</t>
        </is>
      </c>
      <c r="B16" s="17" t="inlineStr">
        <is>
          <t>Shirin</t>
        </is>
      </c>
      <c r="C16" s="26" t="inlineStr">
        <is>
          <t>BAN</t>
        </is>
      </c>
      <c r="D16" s="26" t="inlineStr">
        <is>
          <t>TEJ</t>
        </is>
      </c>
      <c r="E16" s="26" t="n">
        <v>1</v>
      </c>
      <c r="F16" s="26" t="inlineStr">
        <is>
          <t>Y</t>
        </is>
      </c>
      <c r="G16" s="27">
        <f>INDEX(Zones_Distances!$B$16:$K$25,MATCH(C16,Zones_Distances!$A$16:$A$25,0),MATCH(D16,Zones_Distances!$B$15:$K$15,0))*1000</f>
        <v/>
      </c>
      <c r="H16" s="27">
        <f>ROUND(G16*$C$6/1000,0)</f>
        <v/>
      </c>
      <c r="I16" s="27">
        <f>IF(F16="Y",ROUND(H16*$C$7/10000,0),0)</f>
        <v/>
      </c>
      <c r="J16" s="27">
        <f>$C$5+H16-I16</f>
        <v/>
      </c>
      <c r="K16" s="27">
        <f>J16*E16</f>
        <v/>
      </c>
      <c r="L16" s="28">
        <f>K16/100</f>
        <v/>
      </c>
      <c r="M16" s="29" t="n">
        <v>9000</v>
      </c>
      <c r="N16" s="11">
        <f>IF(M16="","—",IF(K16=M16,"OK","MISMATCH"))</f>
        <v/>
      </c>
    </row>
    <row r="17">
      <c r="A17" s="17" t="inlineStr">
        <is>
          <t>Solo</t>
        </is>
      </c>
      <c r="B17" s="17" t="inlineStr">
        <is>
          <t>Shirin</t>
        </is>
      </c>
      <c r="C17" s="26" t="inlineStr">
        <is>
          <t>BAN</t>
        </is>
      </c>
      <c r="D17" s="26" t="inlineStr">
        <is>
          <t>TEJ</t>
        </is>
      </c>
      <c r="E17" s="26" t="n">
        <v>1</v>
      </c>
      <c r="F17" s="26" t="inlineStr">
        <is>
          <t>N</t>
        </is>
      </c>
      <c r="G17" s="27">
        <f>INDEX(Zones_Distances!$B$16:$K$25,MATCH(C17,Zones_Distances!$A$16:$A$25,0),MATCH(D17,Zones_Distances!$B$15:$K$15,0))*1000</f>
        <v/>
      </c>
      <c r="H17" s="27">
        <f>ROUND(G17*$C$6/1000,0)</f>
        <v/>
      </c>
      <c r="I17" s="27">
        <f>IF(F17="Y",ROUND(H17*$C$7/10000,0),0)</f>
        <v/>
      </c>
      <c r="J17" s="27">
        <f>$C$5+H17-I17</f>
        <v/>
      </c>
      <c r="K17" s="27">
        <f>J17*E17</f>
        <v/>
      </c>
      <c r="L17" s="28">
        <f>K17/100</f>
        <v/>
      </c>
      <c r="M17" s="29" t="n">
        <v>10500</v>
      </c>
      <c r="N17" s="11">
        <f>IF(M17="","—",IF(K17=M17,"OK","MISMATCH"))</f>
        <v/>
      </c>
    </row>
    <row r="18">
      <c r="A18" s="17" t="inlineStr">
        <is>
          <t>E4 two seats solo</t>
        </is>
      </c>
      <c r="B18" s="17" t="inlineStr">
        <is>
          <t>Nusrat</t>
        </is>
      </c>
      <c r="C18" s="26" t="inlineStr">
        <is>
          <t>BAN</t>
        </is>
      </c>
      <c r="D18" s="26" t="inlineStr">
        <is>
          <t>MHK</t>
        </is>
      </c>
      <c r="E18" s="26" t="n">
        <v>2</v>
      </c>
      <c r="F18" s="26" t="inlineStr">
        <is>
          <t>N</t>
        </is>
      </c>
      <c r="G18" s="27">
        <f>INDEX(Zones_Distances!$B$16:$K$25,MATCH(C18,Zones_Distances!$A$16:$A$25,0),MATCH(D18,Zones_Distances!$B$15:$K$15,0))*1000</f>
        <v/>
      </c>
      <c r="H18" s="27">
        <f>ROUND(G18*$C$6/1000,0)</f>
        <v/>
      </c>
      <c r="I18" s="27">
        <f>IF(F18="Y",ROUND(H18*$C$7/10000,0),0)</f>
        <v/>
      </c>
      <c r="J18" s="27">
        <f>$C$5+H18-I18</f>
        <v/>
      </c>
      <c r="K18" s="27">
        <f>J18*E18</f>
        <v/>
      </c>
      <c r="L18" s="28">
        <f>K18/100</f>
        <v/>
      </c>
      <c r="M18" s="29" t="n">
        <v>15000</v>
      </c>
      <c r="N18" s="11">
        <f>IF(M18="","—",IF(K18=M18,"OK","MISMATCH"))</f>
        <v/>
      </c>
    </row>
    <row r="19">
      <c r="A19" s="17" t="inlineStr">
        <is>
          <t>Try your own</t>
        </is>
      </c>
      <c r="B19" s="17" t="inlineStr">
        <is>
          <t>(any)</t>
        </is>
      </c>
      <c r="C19" s="30" t="inlineStr">
        <is>
          <t>GL2</t>
        </is>
      </c>
      <c r="D19" s="30" t="inlineStr">
        <is>
          <t>BSH</t>
        </is>
      </c>
      <c r="E19" s="30" t="n">
        <v>1</v>
      </c>
      <c r="F19" s="30" t="inlineStr">
        <is>
          <t>Y</t>
        </is>
      </c>
      <c r="G19" s="27">
        <f>INDEX(Zones_Distances!$B$16:$K$25,MATCH(C19,Zones_Distances!$A$16:$A$25,0),MATCH(D19,Zones_Distances!$B$15:$K$15,0))*1000</f>
        <v/>
      </c>
      <c r="H19" s="27">
        <f>ROUND(G19*$C$6/1000,0)</f>
        <v/>
      </c>
      <c r="I19" s="27">
        <f>IF(F19="Y",ROUND(H19*$C$7/10000,0),0)</f>
        <v/>
      </c>
      <c r="J19" s="27">
        <f>$C$5+H19-I19</f>
        <v/>
      </c>
      <c r="K19" s="27">
        <f>J19*E19</f>
        <v/>
      </c>
      <c r="L19" s="28">
        <f>K19/100</f>
        <v/>
      </c>
      <c r="M19" s="29" t="n"/>
      <c r="N19" s="11">
        <f>IF(M19="","—",IF(K19=M19,"OK","MISMATCH"))</f>
        <v/>
      </c>
    </row>
    <row r="21">
      <c r="A21" s="3" t="inlineStr">
        <is>
          <t>E1 saving for the two riders together (৳)</t>
        </is>
      </c>
      <c r="L21" s="31">
        <f>(K14+K15-K12-K13)/100</f>
        <v/>
      </c>
      <c r="M21" s="32" t="n">
        <v>16.5</v>
      </c>
      <c r="N21" s="3">
        <f>IF(ABS(L21-M21)&lt;0.001,"OK","MISMATCH")</f>
        <v/>
      </c>
    </row>
  </sheetData>
  <mergeCells count="1">
    <mergeCell ref="A2:N2"/>
  </mergeCells>
  <conditionalFormatting sqref="N12:N19">
    <cfRule type="expression" priority="1" dxfId="0">
      <formula>N12="OK"</formula>
    </cfRule>
    <cfRule type="expression" priority="2" dxfId="1">
      <formula>N12="MISMATCH"</formula>
    </cfRule>
  </conditionalFormatting>
  <dataValidations count="2">
    <dataValidation sqref="C12:D19" showDropDown="0" showInputMessage="0" showErrorMessage="0" allowBlank="0" type="list">
      <formula1>"BAN,GL1,GL2,MHK,TEJ,FRM,DHN,MIR,UTR,BSH"</formula1>
    </dataValidation>
    <dataValidation sqref="F12:F19" showDropDown="0" showInputMessage="0" showErrorMessage="0" allowBlank="0" type="list">
      <formula1>"Y,N"</formula1>
    </dataValidation>
  </dataValidations>
  <pageMargins left="0.75" right="0.75" top="1" bottom="1" header="0.5" footer="0.5"/>
</worksheet>
</file>

<file path=xl/worksheets/sheet9.xml><?xml version="1.0" encoding="utf-8"?>
<worksheet xmlns="http://schemas.openxmlformats.org/spreadsheetml/2006/main">
  <sheetPr>
    <tabColor rgb="00808080"/>
    <outlinePr summaryBelow="1" summaryRight="1"/>
    <pageSetUpPr/>
  </sheetPr>
  <dimension ref="A1:B16"/>
  <sheetViews>
    <sheetView zoomScale="10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00" customWidth="1" min="2" max="2"/>
  </cols>
  <sheetData>
    <row r="1" ht="30" customHeight="1">
      <c r="A1" s="7" t="inlineStr">
        <is>
          <t>Term</t>
        </is>
      </c>
      <c r="B1" s="7" t="inlineStr">
        <is>
          <t>Definition</t>
        </is>
      </c>
    </row>
    <row r="2" ht="18" customHeight="1">
      <c r="A2" s="13" t="inlineStr">
        <is>
          <t>Tesla</t>
        </is>
      </c>
      <c r="B2" s="13" t="inlineStr">
        <is>
          <t>Fictional name for a three-wheeled battery rickshaw. In the system it is a vehicle with a fixed seat capacity.</t>
        </is>
      </c>
    </row>
    <row r="3" ht="33" customHeight="1">
      <c r="A3" s="17" t="inlineStr">
        <is>
          <t>Zone</t>
        </is>
      </c>
      <c r="B3" s="17" t="inlineStr">
        <is>
          <t>One of a predefined list of Dhaka areas (e.g. Banani, Mohakhali), with a code, a name and a representative lat/long.</t>
        </is>
      </c>
    </row>
    <row r="4" ht="33" customHeight="1">
      <c r="A4" s="13" t="inlineStr">
        <is>
          <t>Ride request</t>
        </is>
      </c>
      <c r="B4" s="13" t="inlineStr">
        <is>
          <t>One passenger's request for a trip: pickup zone, destination zone, seats, pool opt-in and payment method. It has its own lifecycle (§5.1).</t>
        </is>
      </c>
    </row>
    <row r="5" ht="33" customHeight="1">
      <c r="A5" s="17" t="inlineStr">
        <is>
          <t>Pool</t>
        </is>
      </c>
      <c r="B5" s="17" t="inlineStr">
        <is>
          <t>One trip of one Tesla, carrying one or more ride requests from the same pickup zone. It has its own lifecycle (§5.2). "Ride" and "pool" are used interchangeably from the driver's side.</t>
        </is>
      </c>
    </row>
    <row r="6" ht="18" customHeight="1">
      <c r="A6" s="13" t="inlineStr">
        <is>
          <t>Pool member</t>
        </is>
      </c>
      <c r="B6" s="13" t="inlineStr">
        <is>
          <t>A ride request assigned to a pool.</t>
        </is>
      </c>
    </row>
    <row r="7" ht="18" customHeight="1">
      <c r="A7" s="17" t="inlineStr">
        <is>
          <t>Occupied seats</t>
        </is>
      </c>
      <c r="B7" s="17" t="inlineStr">
        <is>
          <t>Sum of seats over a pool's members that are in an active status (MATCHED, DRIVER_ARRIVED, STARTED).</t>
        </is>
      </c>
    </row>
    <row r="8" ht="18" customHeight="1">
      <c r="A8" s="13" t="inlineStr">
        <is>
          <t>Pooled</t>
        </is>
      </c>
      <c r="B8" s="13" t="inlineStr">
        <is>
          <t>A pool is pooled when two or more distinct ride requests (from different passengers) are on board at trip start.</t>
        </is>
      </c>
    </row>
    <row r="9" ht="18" customHeight="1">
      <c r="A9" s="17" t="inlineStr">
        <is>
          <t>Paisa (poysha)</t>
        </is>
      </c>
      <c r="B9" s="17" t="inlineStr">
        <is>
          <t>1/100 of a Bangladeshi Taka (৳). All money is stored as an integer number of paisa.</t>
        </is>
      </c>
    </row>
    <row r="10" ht="18" customHeight="1">
      <c r="A10" s="13" t="inlineStr">
        <is>
          <t>TeslaPay</t>
        </is>
      </c>
      <c r="B10" s="13" t="inlineStr">
        <is>
          <t>Simulated in-app wallet. There is no real money and no real gateway.</t>
        </is>
      </c>
    </row>
    <row r="11" ht="18" customHeight="1">
      <c r="A11" s="17" t="inlineStr">
        <is>
          <t>Active request</t>
        </is>
      </c>
      <c r="B11" s="17" t="inlineStr">
        <is>
          <t>A ride request in REQUESTED, MATCHED, DRIVER_ARRIVED or STARTED status.</t>
        </is>
      </c>
    </row>
    <row r="12" ht="18" customHeight="1">
      <c r="A12" s="13" t="inlineStr">
        <is>
          <t>Active pool</t>
        </is>
      </c>
      <c r="B12" s="13" t="inlineStr">
        <is>
          <t>A pool in OPEN, DRIVER_ARRIVED or STARTED status.</t>
        </is>
      </c>
    </row>
    <row r="13" ht="18" customHeight="1">
      <c r="A13" s="17" t="inlineStr">
        <is>
          <t>Audit trail</t>
        </is>
      </c>
      <c r="B13" s="17" t="inlineStr">
        <is>
          <t>Append-only log of status changes (status_history).</t>
        </is>
      </c>
    </row>
    <row r="14" ht="18" customHeight="1">
      <c r="A14" s="13" t="inlineStr">
        <is>
          <t>MVP</t>
        </is>
      </c>
      <c r="B14" s="13" t="inlineStr">
        <is>
          <t>Minimum Viable Product</t>
        </is>
      </c>
    </row>
    <row r="15" ht="18" customHeight="1">
      <c r="A15" s="17" t="inlineStr">
        <is>
          <t>RTM</t>
        </is>
      </c>
      <c r="B15" s="17" t="inlineStr">
        <is>
          <t>Requirements Traceability Matrix</t>
        </is>
      </c>
    </row>
    <row r="16" ht="18" customHeight="1">
      <c r="A16" s="13" t="inlineStr">
        <is>
          <t>MoSCoW</t>
        </is>
      </c>
      <c r="B16" s="13" t="inlineStr">
        <is>
          <t>Must / Should / Could / Won't prioritisation</t>
        </is>
      </c>
    </row>
  </sheetData>
  <autoFilter ref="A1:B16"/>
  <pageMargins left="0.75" right="0.75" top="1" bottom="1" header="0.5" footer="0.5"/>
</worksheet>
</file>

<file path=xl/worksheets/sheet10.xml><?xml version="1.0" encoding="utf-8"?>
<worksheet xmlns="http://schemas.openxmlformats.org/spreadsheetml/2006/main">
  <sheetPr>
    <tabColor rgb="00808080"/>
    <outlinePr summaryBelow="1" summaryRight="1"/>
    <pageSetUpPr/>
  </sheetPr>
  <dimension ref="A1:E20"/>
  <sheetViews>
    <sheetView zoomScale="10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40" customWidth="1" min="2" max="2"/>
    <col width="16" customWidth="1" min="3" max="3"/>
    <col width="60" customWidth="1" min="4" max="4"/>
    <col width="18" customWidth="1" min="5" max="5"/>
  </cols>
  <sheetData>
    <row r="1" ht="30" customHeight="1">
      <c r="A1" s="7" t="inlineStr">
        <is>
          <t>PRD §</t>
        </is>
      </c>
      <c r="B1" s="7" t="inlineStr">
        <is>
          <t>Section title</t>
        </is>
      </c>
      <c r="C1" s="7" t="inlineStr">
        <is>
          <t># requirements tracing here</t>
        </is>
      </c>
      <c r="D1" s="7" t="inlineStr">
        <is>
          <t>Covered by (non-requirement)</t>
        </is>
      </c>
      <c r="E1" s="7" t="inlineStr">
        <is>
          <t>Coverage</t>
        </is>
      </c>
    </row>
    <row r="2" ht="18" customHeight="1">
      <c r="A2" s="14" t="n">
        <v>1</v>
      </c>
      <c r="B2" s="13" t="inlineStr">
        <is>
          <t>The Banani Rush-Hour Story</t>
        </is>
      </c>
      <c r="C2" s="14">
        <f>COUNTIF(Requirements_RTM!$P$2:$P$142,"*,"&amp;A2&amp;",*")</f>
        <v/>
      </c>
      <c r="D2" s="13" t="inlineStr"/>
      <c r="E2" s="14">
        <f>IF(C2&gt;0,"Covered",IF(D2&lt;&gt;"","Covered (see note)","GAP"))</f>
        <v/>
      </c>
    </row>
    <row r="3" ht="18" customHeight="1">
      <c r="A3" s="9" t="n">
        <v>2</v>
      </c>
      <c r="B3" s="17" t="inlineStr">
        <is>
          <t>The Product Problem</t>
        </is>
      </c>
      <c r="C3" s="9">
        <f>COUNTIF(Requirements_RTM!$P$2:$P$142,"*,"&amp;A3&amp;",*")</f>
        <v/>
      </c>
      <c r="D3" s="17" t="inlineStr"/>
      <c r="E3" s="9">
        <f>IF(C3&gt;0,"Covered",IF(D3&lt;&gt;"","Covered (see note)","GAP"))</f>
        <v/>
      </c>
    </row>
    <row r="4" ht="18" customHeight="1">
      <c r="A4" s="14" t="n">
        <v>3</v>
      </c>
      <c r="B4" s="13" t="inlineStr">
        <is>
          <t>Your Mission: Build the MVP</t>
        </is>
      </c>
      <c r="C4" s="14">
        <f>COUNTIF(Requirements_RTM!$P$2:$P$142,"*,"&amp;A4&amp;",*")</f>
        <v/>
      </c>
      <c r="D4" s="13" t="inlineStr"/>
      <c r="E4" s="14">
        <f>IF(C4&gt;0,"Covered",IF(D4&lt;&gt;"","Covered (see note)","GAP"))</f>
        <v/>
      </c>
    </row>
    <row r="5" ht="18" customHeight="1">
      <c r="A5" s="9" t="n">
        <v>4</v>
      </c>
      <c r="B5" s="17" t="inlineStr">
        <is>
          <t>Keeping Geography Simple</t>
        </is>
      </c>
      <c r="C5" s="9">
        <f>COUNTIF(Requirements_RTM!$P$2:$P$142,"*,"&amp;A5&amp;",*")</f>
        <v/>
      </c>
      <c r="D5" s="17" t="inlineStr"/>
      <c r="E5" s="9">
        <f>IF(C5&gt;0,"Covered",IF(D5&lt;&gt;"","Covered (see note)","GAP"))</f>
        <v/>
      </c>
    </row>
    <row r="6" ht="18" customHeight="1">
      <c r="A6" s="14" t="n">
        <v>5</v>
      </c>
      <c r="B6" s="13" t="inlineStr">
        <is>
          <t>Fare Model</t>
        </is>
      </c>
      <c r="C6" s="14">
        <f>COUNTIF(Requirements_RTM!$P$2:$P$142,"*,"&amp;A6&amp;",*")</f>
        <v/>
      </c>
      <c r="D6" s="13" t="inlineStr"/>
      <c r="E6" s="14">
        <f>IF(C6&gt;0,"Covered",IF(D6&lt;&gt;"","Covered (see note)","GAP"))</f>
        <v/>
      </c>
    </row>
    <row r="7" ht="18" customHeight="1">
      <c r="A7" s="9" t="n">
        <v>6</v>
      </c>
      <c r="B7" s="17" t="inlineStr">
        <is>
          <t>Technical Scope &amp; Mandated Stack</t>
        </is>
      </c>
      <c r="C7" s="9">
        <f>COUNTIF(Requirements_RTM!$P$2:$P$142,"*,"&amp;A7&amp;",*")</f>
        <v/>
      </c>
      <c r="D7" s="17" t="inlineStr"/>
      <c r="E7" s="9">
        <f>IF(C7&gt;0,"Covered",IF(D7&lt;&gt;"","Covered (see note)","GAP"))</f>
        <v/>
      </c>
    </row>
    <row r="8" ht="18" customHeight="1">
      <c r="A8" s="14" t="n">
        <v>7</v>
      </c>
      <c r="B8" s="13" t="inlineStr">
        <is>
          <t>Technology Choice &amp; Justification</t>
        </is>
      </c>
      <c r="C8" s="14">
        <f>COUNTIF(Requirements_RTM!$P$2:$P$142,"*,"&amp;A8&amp;",*")</f>
        <v/>
      </c>
      <c r="D8" s="13" t="inlineStr"/>
      <c r="E8" s="14">
        <f>IF(C8&gt;0,"Covered",IF(D8&lt;&gt;"","Covered (see note)","GAP"))</f>
        <v/>
      </c>
    </row>
    <row r="9" ht="18" customHeight="1">
      <c r="A9" s="9" t="n">
        <v>8</v>
      </c>
      <c r="B9" s="17" t="inlineStr">
        <is>
          <t>AI Usage Policy</t>
        </is>
      </c>
      <c r="C9" s="9">
        <f>COUNTIF(Requirements_RTM!$P$2:$P$142,"*,"&amp;A9&amp;",*")</f>
        <v/>
      </c>
      <c r="D9" s="17" t="inlineStr"/>
      <c r="E9" s="9">
        <f>IF(C9&gt;0,"Covered",IF(D9&lt;&gt;"","Covered (see note)","GAP"))</f>
        <v/>
      </c>
    </row>
    <row r="10" ht="18" customHeight="1">
      <c r="A10" s="14" t="n">
        <v>9</v>
      </c>
      <c r="B10" s="13" t="inlineStr">
        <is>
          <t>Architecture First</t>
        </is>
      </c>
      <c r="C10" s="14">
        <f>COUNTIF(Requirements_RTM!$P$2:$P$142,"*,"&amp;A10&amp;",*")</f>
        <v/>
      </c>
      <c r="D10" s="13" t="inlineStr"/>
      <c r="E10" s="14">
        <f>IF(C10&gt;0,"Covered",IF(D10&lt;&gt;"","Covered (see note)","GAP"))</f>
        <v/>
      </c>
    </row>
    <row r="11" ht="18" customHeight="1">
      <c r="A11" s="9" t="n">
        <v>10</v>
      </c>
      <c r="B11" s="17" t="inlineStr">
        <is>
          <t>Git Workflow</t>
        </is>
      </c>
      <c r="C11" s="9">
        <f>COUNTIF(Requirements_RTM!$P$2:$P$142,"*,"&amp;A11&amp;",*")</f>
        <v/>
      </c>
      <c r="D11" s="17" t="inlineStr"/>
      <c r="E11" s="9">
        <f>IF(C11&gt;0,"Covered",IF(D11&lt;&gt;"","Covered (see note)","GAP"))</f>
        <v/>
      </c>
    </row>
    <row r="12" ht="18" customHeight="1">
      <c r="A12" s="14" t="n">
        <v>11</v>
      </c>
      <c r="B12" s="13" t="inlineStr">
        <is>
          <t>Commit Message Rules</t>
        </is>
      </c>
      <c r="C12" s="14">
        <f>COUNTIF(Requirements_RTM!$P$2:$P$142,"*,"&amp;A12&amp;",*")</f>
        <v/>
      </c>
      <c r="D12" s="13" t="inlineStr"/>
      <c r="E12" s="14">
        <f>IF(C12&gt;0,"Covered",IF(D12&lt;&gt;"","Covered (see note)","GAP"))</f>
        <v/>
      </c>
    </row>
    <row r="13" ht="18" customHeight="1">
      <c r="A13" s="9" t="n">
        <v>12</v>
      </c>
      <c r="B13" s="17" t="inlineStr">
        <is>
          <t>README, Testing, Concurrency &amp; Bonus</t>
        </is>
      </c>
      <c r="C13" s="9">
        <f>COUNTIF(Requirements_RTM!$P$2:$P$142,"*,"&amp;A13&amp;",*")</f>
        <v/>
      </c>
      <c r="D13" s="17" t="inlineStr"/>
      <c r="E13" s="9">
        <f>IF(C13&gt;0,"Covered",IF(D13&lt;&gt;"","Covered (see note)","GAP"))</f>
        <v/>
      </c>
    </row>
    <row r="14" ht="18" customHeight="1">
      <c r="A14" s="14" t="n">
        <v>13</v>
      </c>
      <c r="B14" s="13" t="inlineStr">
        <is>
          <t>Six-Minute Final Video</t>
        </is>
      </c>
      <c r="C14" s="14">
        <f>COUNTIF(Requirements_RTM!$P$2:$P$142,"*,"&amp;A14&amp;",*")</f>
        <v/>
      </c>
      <c r="D14" s="13" t="inlineStr"/>
      <c r="E14" s="14">
        <f>IF(C14&gt;0,"Covered",IF(D14&lt;&gt;"","Covered (see note)","GAP"))</f>
        <v/>
      </c>
    </row>
    <row r="15" ht="18" customHeight="1">
      <c r="A15" s="9" t="n">
        <v>14</v>
      </c>
      <c r="B15" s="17" t="inlineStr">
        <is>
          <t>Submission Checklist</t>
        </is>
      </c>
      <c r="C15" s="9">
        <f>COUNTIF(Requirements_RTM!$P$2:$P$142,"*,"&amp;A15&amp;",*")</f>
        <v/>
      </c>
      <c r="D15" s="17" t="inlineStr"/>
      <c r="E15" s="9">
        <f>IF(C15&gt;0,"Covered",IF(D15&lt;&gt;"","Covered (see note)","GAP"))</f>
        <v/>
      </c>
    </row>
    <row r="16" ht="18" customHeight="1">
      <c r="A16" s="14" t="n">
        <v>15</v>
      </c>
      <c r="B16" s="13" t="inlineStr">
        <is>
          <t>What We Will Evaluate</t>
        </is>
      </c>
      <c r="C16" s="14">
        <f>COUNTIF(Requirements_RTM!$P$2:$P$142,"*,"&amp;A16&amp;",*")</f>
        <v/>
      </c>
      <c r="D16" s="13" t="inlineStr">
        <is>
          <t>Evaluation criteria; addressed by the SRS as a whole and Verification (§12)</t>
        </is>
      </c>
      <c r="E16" s="14">
        <f>IF(C16&gt;0,"Covered",IF(D16&lt;&gt;"","Covered (see note)","GAP"))</f>
        <v/>
      </c>
    </row>
    <row r="17" ht="18" customHeight="1">
      <c r="A17" s="9" t="n">
        <v>16</v>
      </c>
      <c r="B17" s="17" t="inlineStr">
        <is>
          <t>What NOT to Do</t>
        </is>
      </c>
      <c r="C17" s="9">
        <f>COUNTIF(Requirements_RTM!$P$2:$P$142,"*,"&amp;A17&amp;",*")</f>
        <v/>
      </c>
      <c r="D17" s="17" t="inlineStr"/>
      <c r="E17" s="9">
        <f>IF(C17&gt;0,"Covered",IF(D17&lt;&gt;"","Covered (see note)","GAP"))</f>
        <v/>
      </c>
    </row>
    <row r="18" ht="18" customHeight="1">
      <c r="A18" s="14" t="n">
        <v>17</v>
      </c>
      <c r="B18" s="13" t="inlineStr">
        <is>
          <t>Assumptions Are Allowed</t>
        </is>
      </c>
      <c r="C18" s="14">
        <f>COUNTIF(Requirements_RTM!$P$2:$P$142,"*,"&amp;A18&amp;",*")</f>
        <v/>
      </c>
      <c r="D18" s="13" t="inlineStr">
        <is>
          <t>Assumptions register A-01…A-18 (Assumptions_Decisions)</t>
        </is>
      </c>
      <c r="E18" s="14">
        <f>IF(C18&gt;0,"Covered",IF(D18&lt;&gt;"","Covered (see note)","GAP"))</f>
        <v/>
      </c>
    </row>
    <row r="19" ht="18" customHeight="1">
      <c r="A19" s="9" t="n">
        <v>18</v>
      </c>
      <c r="B19" s="17" t="inlineStr">
        <is>
          <t>Why the Details Matter</t>
        </is>
      </c>
      <c r="C19" s="9">
        <f>COUNTIF(Requirements_RTM!$P$2:$P$142,"*,"&amp;A19&amp;",*")</f>
        <v/>
      </c>
      <c r="D19" s="17" t="inlineStr"/>
      <c r="E19" s="9">
        <f>IF(C19&gt;0,"Covered",IF(D19&lt;&gt;"","Covered (see note)","GAP"))</f>
        <v/>
      </c>
    </row>
    <row r="20" ht="18" customHeight="1">
      <c r="A20" s="14" t="n">
        <v>19</v>
      </c>
      <c r="B20" s="13" t="inlineStr">
        <is>
          <t>Final Note From RoBenDevs</t>
        </is>
      </c>
      <c r="C20" s="14">
        <f>COUNTIF(Requirements_RTM!$P$2:$P$142,"*,"&amp;A20&amp;",*")</f>
        <v/>
      </c>
      <c r="D20" s="13" t="inlineStr">
        <is>
          <t>Informational only — no requirement</t>
        </is>
      </c>
      <c r="E20" s="14">
        <f>IF(C20&gt;0,"Covered",IF(D20&lt;&gt;"","Covered (see note)","GAP"))</f>
        <v/>
      </c>
    </row>
  </sheetData>
  <autoFilter ref="A1:E20"/>
  <conditionalFormatting sqref="E2:E20">
    <cfRule type="expression" priority="1" dxfId="0">
      <formula>LEFT($E2,7)="Covered"</formula>
    </cfRule>
    <cfRule type="expression" priority="2" dxfId="1">
      <formula>$E2="GAP"</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2026-09-23T00:20:18Z</dcterms:created>
  <dcterms:modified xmlns:dcterms="http://purl.org/dc/terms/" xmlns:xsi="http://www.w3.org/2001/XMLSchema-instance" xsi:type="dcterms:W3CDTF">2026-09-24T13:15:37Z</dcterms:modified>
</cp:coreProperties>
</file>